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resources.deloitte.com/personal/npepermans_deloitte_es/Documents/Desktop/Qatar2022/"/>
    </mc:Choice>
  </mc:AlternateContent>
  <xr:revisionPtr revIDLastSave="33" documentId="13_ncr:1_{B9384940-B421-4469-8A63-DBC043CB0EA8}" xr6:coauthVersionLast="47" xr6:coauthVersionMax="47" xr10:uidLastSave="{6B14047B-4C0A-4BA2-95ED-F615C9D2CDA2}"/>
  <workbookProtection workbookAlgorithmName="SHA-512" workbookHashValue="/53ydUxFT4YbbWJxGwSeLCzfy5ePPpGVNI34KWU9elHfFc/0Yt7p7JKhzb3Nu/QAdOu7Mw9CEuqNc3IvyTCnyw==" workbookSaltValue="beXi4Hm5L+1YpFbTh7l30Q==" workbookSpinCount="100000" lockStructure="1"/>
  <bookViews>
    <workbookView xWindow="28680" yWindow="-120" windowWidth="29040" windowHeight="16440" xr2:uid="{00000000-000D-0000-FFFF-FFFF00000000}"/>
  </bookViews>
  <sheets>
    <sheet name="Apuesta" sheetId="1" r:id="rId1"/>
    <sheet name="Auxiliar" sheetId="8" state="hidden" r:id="rId2"/>
    <sheet name="Plantillas" sheetId="10" state="hidden" r:id="rId3"/>
  </sheets>
  <definedNames>
    <definedName name="Alemania">Plantillas!$B$3:$B$25</definedName>
    <definedName name="Alemania_2">Plantillas!$B$3:$B$11</definedName>
    <definedName name="ArabiaSaudí">Plantillas!$C$3:$C$25</definedName>
    <definedName name="ArabiaSaudí_2">Plantillas!$C$3:$C$7</definedName>
    <definedName name="Argentina">Plantillas!$D$3:$D$25</definedName>
    <definedName name="Argentina_2">Plantillas!$D$3:$D$8</definedName>
    <definedName name="Australia">Plantillas!$E$3:$E$25</definedName>
    <definedName name="Australia_2">Plantillas!$E$3:$E$7</definedName>
    <definedName name="Bélgica">Plantillas!$F$3:$F$25</definedName>
    <definedName name="Bélgica_2">Plantillas!$F$3:$F$12</definedName>
    <definedName name="Brasil">Plantillas!$G$3:$G$25</definedName>
    <definedName name="Brasil_2">Plantillas!$G$3:$G$12</definedName>
    <definedName name="Camerún">Plantillas!$H$3:$H$25</definedName>
    <definedName name="Camerún_2">Plantillas!$H$3:$H$9</definedName>
    <definedName name="Canadá">Plantillas!$I$3:$I$25</definedName>
    <definedName name="Canadá_2">Plantillas!$I$3:$I$7</definedName>
    <definedName name="Colombia">#REF!</definedName>
    <definedName name="CoreadelSur">Plantillas!$J$3:$J$25</definedName>
    <definedName name="CoreadelSur_2">Plantillas!$J$3:$J$10</definedName>
    <definedName name="CostaRica">Plantillas!$K$3:$K$25</definedName>
    <definedName name="CostaRica_2">Plantillas!$K$3:$K$8</definedName>
    <definedName name="Croacia">Plantillas!$L$3:$L$25</definedName>
    <definedName name="Croacia_2">Plantillas!$L$3:$L$11</definedName>
    <definedName name="Dinamarca">Plantillas!$M$3:$M$25</definedName>
    <definedName name="Dinamarca_2">Plantillas!$M$3:$M$7</definedName>
    <definedName name="Ecuador">Plantillas!$N$3:$N$25</definedName>
    <definedName name="Ecuador_2">Plantillas!$N$3:$N$9</definedName>
    <definedName name="EEUU">Plantillas!$O$3:$O$25</definedName>
    <definedName name="EEUU_2">Plantillas!$O$3:$O$10</definedName>
    <definedName name="Egipto">#REF!</definedName>
    <definedName name="España">Plantillas!#REF!</definedName>
    <definedName name="España_2">Plantillas!$P$3:$P$10</definedName>
    <definedName name="Francia">Plantillas!$Q$3:$Q$25</definedName>
    <definedName name="Francia_2">Plantillas!$Q$3:$Q$8</definedName>
    <definedName name="Gales">Plantillas!$R$3:$R$25</definedName>
    <definedName name="Gales_2">Plantillas!$R$3:$R$7</definedName>
    <definedName name="Ghana">Plantillas!$S$3:$S$25</definedName>
    <definedName name="Ghana_2">Plantillas!$S$3:$S$6</definedName>
    <definedName name="Inglaterra">Plantillas!$T$3:$T$24</definedName>
    <definedName name="Inglaterra_2">Plantillas!$T$3:$T$9</definedName>
    <definedName name="Irán">Plantillas!$U$3:$U$20</definedName>
    <definedName name="Irán_2">Plantillas!$U$3:$U$8</definedName>
    <definedName name="Islandia">#REF!</definedName>
    <definedName name="Japón">Plantillas!$V$3:$V$21</definedName>
    <definedName name="Japón_2">Plantillas!$V$3:$V$9</definedName>
    <definedName name="Marruecos">Plantillas!$W$3:$W$21</definedName>
    <definedName name="Marruecos_2">Plantillas!$W$3:$W$9</definedName>
    <definedName name="México">Plantillas!$X$3:$X$19</definedName>
    <definedName name="México_2">Plantillas!$X$3:$X$9</definedName>
    <definedName name="Nigeria">#REF!</definedName>
    <definedName name="Países">Plantillas!$B$2:$AG$2</definedName>
    <definedName name="PaísesBajos">Plantillas!$Y$3:$Y$25</definedName>
    <definedName name="PaísesBajos_2">Plantillas!$Y$3:$Y$8</definedName>
    <definedName name="Panamá">#REF!</definedName>
    <definedName name="Perú">#REF!</definedName>
    <definedName name="Polonia">Plantillas!$Z$3:$Z$25</definedName>
    <definedName name="Polonia_2">Plantillas!$Z$3:$Z$8</definedName>
    <definedName name="Portugal">Plantillas!$AA$3:$AA$25</definedName>
    <definedName name="Portugal_2">Plantillas!$AA$3:$AA$9</definedName>
    <definedName name="Qatar">Plantillas!$AB$3:$AB$25</definedName>
    <definedName name="Qatar_2">Plantillas!$AB$3:$AB$7</definedName>
    <definedName name="Rusia">#REF!</definedName>
    <definedName name="Senegal">Plantillas!$AC$3:$AC$25</definedName>
    <definedName name="Senegal_2">Plantillas!$AC$3:$AC$7</definedName>
    <definedName name="Serbia">Plantillas!$AD$3:$AD$25</definedName>
    <definedName name="Serbia_2">Plantillas!$AD$3:$AD$9</definedName>
    <definedName name="Suecia">#REF!</definedName>
    <definedName name="Suiza">Plantillas!$AE$3:$AE$25</definedName>
    <definedName name="Suiza_2">Plantillas!$AE$3:$AE$9</definedName>
    <definedName name="Túnez">Plantillas!$AF$3:$AF$25</definedName>
    <definedName name="Túnez_2">Plantillas!$AF$3:$AF$7</definedName>
    <definedName name="Uruguay">Plantillas!$AG$3:$AG$25</definedName>
    <definedName name="Uruguay_2">Plantillas!$AG$3:$AG$7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8" l="1"/>
  <c r="E3" i="8"/>
  <c r="F80" i="8" l="1"/>
  <c r="F79" i="8"/>
  <c r="AM33" i="8" l="1"/>
  <c r="AM30" i="8"/>
  <c r="J69" i="8"/>
  <c r="J70" i="8"/>
  <c r="J71" i="8"/>
  <c r="J68" i="8"/>
  <c r="J60" i="8"/>
  <c r="J61" i="8"/>
  <c r="J62" i="8"/>
  <c r="J59" i="8"/>
  <c r="J51" i="8"/>
  <c r="J52" i="8"/>
  <c r="J53" i="8"/>
  <c r="J50" i="8"/>
  <c r="J42" i="8"/>
  <c r="J43" i="8"/>
  <c r="J44" i="8"/>
  <c r="J41" i="8"/>
  <c r="J33" i="8"/>
  <c r="J34" i="8"/>
  <c r="J35" i="8"/>
  <c r="J32" i="8"/>
  <c r="J24" i="8"/>
  <c r="J25" i="8"/>
  <c r="J26" i="8"/>
  <c r="J23" i="8"/>
  <c r="J15" i="8"/>
  <c r="J16" i="8"/>
  <c r="J17" i="8"/>
  <c r="J14" i="8"/>
  <c r="J6" i="8"/>
  <c r="J7" i="8"/>
  <c r="J8" i="8"/>
  <c r="J5" i="8"/>
  <c r="E40" i="8"/>
  <c r="E41" i="8"/>
  <c r="E42" i="8"/>
  <c r="E43" i="8"/>
  <c r="E44" i="8"/>
  <c r="E48" i="8"/>
  <c r="E49" i="8"/>
  <c r="E50" i="8"/>
  <c r="E51" i="8"/>
  <c r="E52" i="8"/>
  <c r="E53" i="8"/>
  <c r="E57" i="8"/>
  <c r="E58" i="8"/>
  <c r="E59" i="8"/>
  <c r="E60" i="8"/>
  <c r="E61" i="8"/>
  <c r="E62" i="8"/>
  <c r="E66" i="8"/>
  <c r="E67" i="8"/>
  <c r="E68" i="8"/>
  <c r="E69" i="8"/>
  <c r="E70" i="8"/>
  <c r="E71" i="8"/>
  <c r="E39" i="8"/>
  <c r="C40" i="8"/>
  <c r="C41" i="8"/>
  <c r="C42" i="8"/>
  <c r="C43" i="8"/>
  <c r="C44" i="8"/>
  <c r="C48" i="8"/>
  <c r="C49" i="8"/>
  <c r="C50" i="8"/>
  <c r="C51" i="8"/>
  <c r="C52" i="8"/>
  <c r="C53" i="8"/>
  <c r="C57" i="8"/>
  <c r="C58" i="8"/>
  <c r="C59" i="8"/>
  <c r="C60" i="8"/>
  <c r="C61" i="8"/>
  <c r="C62" i="8"/>
  <c r="C66" i="8"/>
  <c r="C67" i="8"/>
  <c r="C68" i="8"/>
  <c r="C69" i="8"/>
  <c r="C70" i="8"/>
  <c r="C71" i="8"/>
  <c r="C39" i="8"/>
  <c r="E4" i="8"/>
  <c r="E5" i="8"/>
  <c r="E6" i="8"/>
  <c r="E7" i="8"/>
  <c r="E8" i="8"/>
  <c r="E12" i="8"/>
  <c r="E13" i="8"/>
  <c r="E14" i="8"/>
  <c r="E15" i="8"/>
  <c r="E16" i="8"/>
  <c r="E17" i="8"/>
  <c r="E21" i="8"/>
  <c r="E22" i="8"/>
  <c r="E23" i="8"/>
  <c r="E24" i="8"/>
  <c r="E25" i="8"/>
  <c r="E26" i="8"/>
  <c r="E30" i="8"/>
  <c r="E31" i="8"/>
  <c r="E32" i="8"/>
  <c r="E33" i="8"/>
  <c r="E34" i="8"/>
  <c r="E35" i="8"/>
  <c r="C4" i="8"/>
  <c r="C5" i="8"/>
  <c r="C6" i="8"/>
  <c r="C7" i="8"/>
  <c r="C8" i="8"/>
  <c r="C12" i="8"/>
  <c r="C13" i="8"/>
  <c r="C14" i="8"/>
  <c r="C15" i="8"/>
  <c r="C16" i="8"/>
  <c r="C17" i="8"/>
  <c r="C21" i="8"/>
  <c r="C22" i="8"/>
  <c r="C23" i="8"/>
  <c r="C24" i="8"/>
  <c r="C25" i="8"/>
  <c r="C26" i="8"/>
  <c r="C30" i="8"/>
  <c r="C31" i="8"/>
  <c r="C32" i="8"/>
  <c r="C33" i="8"/>
  <c r="C34" i="8"/>
  <c r="C35" i="8"/>
  <c r="AB73" i="8" l="1"/>
  <c r="D71" i="8"/>
  <c r="AF69" i="8"/>
  <c r="D70" i="8"/>
  <c r="AF68" i="8"/>
  <c r="D69" i="8"/>
  <c r="D68" i="8"/>
  <c r="D67" i="8"/>
  <c r="D66" i="8"/>
  <c r="AJ57" i="8"/>
  <c r="D62" i="8"/>
  <c r="D61" i="8"/>
  <c r="D60" i="8"/>
  <c r="D59" i="8"/>
  <c r="D58" i="8"/>
  <c r="D57" i="8"/>
  <c r="D53" i="8"/>
  <c r="AI48" i="8"/>
  <c r="D52" i="8"/>
  <c r="D51" i="8"/>
  <c r="AF49" i="8"/>
  <c r="D50" i="8"/>
  <c r="D49" i="8"/>
  <c r="D48" i="8"/>
  <c r="D44" i="8"/>
  <c r="AF42" i="8"/>
  <c r="D43" i="8"/>
  <c r="D42" i="8"/>
  <c r="D41" i="8"/>
  <c r="D40" i="8"/>
  <c r="D39" i="8"/>
  <c r="Y36" i="8"/>
  <c r="X36" i="8"/>
  <c r="D35" i="8"/>
  <c r="D34" i="8"/>
  <c r="D33" i="8"/>
  <c r="AG30" i="8"/>
  <c r="D32" i="8"/>
  <c r="D31" i="8"/>
  <c r="D30" i="8"/>
  <c r="AF25" i="8"/>
  <c r="D26" i="8"/>
  <c r="D25" i="8"/>
  <c r="AH21" i="8"/>
  <c r="D24" i="8"/>
  <c r="AF22" i="8"/>
  <c r="D23" i="8"/>
  <c r="D22" i="8"/>
  <c r="D21" i="8"/>
  <c r="D17" i="8"/>
  <c r="AI12" i="8"/>
  <c r="D16" i="8"/>
  <c r="AF14" i="8"/>
  <c r="D15" i="8"/>
  <c r="D14" i="8"/>
  <c r="D13" i="8"/>
  <c r="D12" i="8"/>
  <c r="AA12" i="8"/>
  <c r="D8" i="8"/>
  <c r="AF6" i="8"/>
  <c r="D7" i="8"/>
  <c r="AH3" i="8"/>
  <c r="Z6" i="8"/>
  <c r="D6" i="8"/>
  <c r="D5" i="8"/>
  <c r="D4" i="8"/>
  <c r="D3" i="8"/>
  <c r="AA48" i="8" l="1"/>
  <c r="AI66" i="8"/>
  <c r="AA67" i="8"/>
  <c r="AA22" i="8"/>
  <c r="AI21" i="8"/>
  <c r="AA26" i="8"/>
  <c r="AF31" i="8"/>
  <c r="AF60" i="8"/>
  <c r="Z62" i="8"/>
  <c r="AI39" i="8"/>
  <c r="Z69" i="8"/>
  <c r="AG66" i="8"/>
  <c r="Z31" i="8"/>
  <c r="AA3" i="8"/>
  <c r="AA35" i="8"/>
  <c r="AA53" i="8"/>
  <c r="AA59" i="8"/>
  <c r="AA34" i="8"/>
  <c r="AI3" i="8"/>
  <c r="AA42" i="8"/>
  <c r="AJ21" i="8"/>
  <c r="AA23" i="8"/>
  <c r="AA30" i="8"/>
  <c r="AA40" i="8"/>
  <c r="AA51" i="8"/>
  <c r="AA14" i="8"/>
  <c r="AA21" i="8"/>
  <c r="Z34" i="8"/>
  <c r="Z42" i="8"/>
  <c r="Z49" i="8"/>
  <c r="AF59" i="8"/>
  <c r="AH39" i="8"/>
  <c r="AH57" i="8"/>
  <c r="AA68" i="8"/>
  <c r="AA62" i="8"/>
  <c r="Z71" i="8"/>
  <c r="Z22" i="8"/>
  <c r="Z32" i="8"/>
  <c r="AA58" i="8"/>
  <c r="AA66" i="8"/>
  <c r="AH30" i="8"/>
  <c r="AF5" i="8"/>
  <c r="Z51" i="8"/>
  <c r="AH12" i="8"/>
  <c r="Z12" i="8"/>
  <c r="AH13" i="8" s="1"/>
  <c r="AG14" i="8" s="1"/>
  <c r="AA25" i="8"/>
  <c r="AG48" i="8"/>
  <c r="AA49" i="8"/>
  <c r="Z66" i="8"/>
  <c r="Z68" i="8"/>
  <c r="Z14" i="8"/>
  <c r="AF16" i="8"/>
  <c r="AF15" i="8"/>
  <c r="Z25" i="8"/>
  <c r="AF32" i="8"/>
  <c r="AJ39" i="8"/>
  <c r="Z40" i="8"/>
  <c r="AF43" i="8"/>
  <c r="Z53" i="8"/>
  <c r="Z60" i="8"/>
  <c r="AA5" i="8"/>
  <c r="Z26" i="8"/>
  <c r="AF40" i="8"/>
  <c r="Z59" i="8"/>
  <c r="AA60" i="8"/>
  <c r="Z24" i="8"/>
  <c r="AA24" i="8"/>
  <c r="Z30" i="8"/>
  <c r="AA31" i="8"/>
  <c r="Z43" i="8"/>
  <c r="AA61" i="8"/>
  <c r="AA71" i="8"/>
  <c r="Z3" i="8"/>
  <c r="AA8" i="8"/>
  <c r="AA7" i="8"/>
  <c r="Z5" i="8"/>
  <c r="Z8" i="8"/>
  <c r="AA13" i="8"/>
  <c r="AA17" i="8"/>
  <c r="AA16" i="8"/>
  <c r="AA15" i="8"/>
  <c r="AF33" i="8"/>
  <c r="AI30" i="8"/>
  <c r="AG21" i="8"/>
  <c r="AF34" i="8"/>
  <c r="AA50" i="8"/>
  <c r="Z50" i="8"/>
  <c r="AJ30" i="8"/>
  <c r="AJ3" i="8"/>
  <c r="Z7" i="8"/>
  <c r="AJ12" i="8"/>
  <c r="Z13" i="8"/>
  <c r="Z23" i="8"/>
  <c r="AA32" i="8"/>
  <c r="AA33" i="8"/>
  <c r="Z33" i="8"/>
  <c r="AA41" i="8"/>
  <c r="Z41" i="8"/>
  <c r="AA6" i="8"/>
  <c r="AJ5" i="8" s="1"/>
  <c r="AH7" i="8" s="1"/>
  <c r="Z4" i="8"/>
  <c r="AA4" i="8"/>
  <c r="AF4" i="8"/>
  <c r="Z21" i="8"/>
  <c r="AF7" i="8"/>
  <c r="AF13" i="8"/>
  <c r="Z15" i="8"/>
  <c r="AF23" i="8"/>
  <c r="Z35" i="8"/>
  <c r="AA39" i="8"/>
  <c r="Z39" i="8"/>
  <c r="AA52" i="8"/>
  <c r="Z17" i="8"/>
  <c r="AA57" i="8"/>
  <c r="Z57" i="8"/>
  <c r="AF70" i="8"/>
  <c r="AJ66" i="8"/>
  <c r="AG3" i="8"/>
  <c r="AF24" i="8"/>
  <c r="Z16" i="8"/>
  <c r="AG12" i="8"/>
  <c r="AA44" i="8"/>
  <c r="Z44" i="8"/>
  <c r="AH48" i="8"/>
  <c r="AF50" i="8"/>
  <c r="AA70" i="8"/>
  <c r="Z70" i="8"/>
  <c r="AJ48" i="8"/>
  <c r="AF51" i="8"/>
  <c r="AI57" i="8"/>
  <c r="AH66" i="8"/>
  <c r="AA43" i="8"/>
  <c r="Z52" i="8"/>
  <c r="Z58" i="8"/>
  <c r="AA69" i="8"/>
  <c r="Z61" i="8"/>
  <c r="Z67" i="8"/>
  <c r="Z48" i="8"/>
  <c r="AF52" i="8"/>
  <c r="AF58" i="8"/>
  <c r="AG39" i="8"/>
  <c r="AF41" i="8"/>
  <c r="AF61" i="8"/>
  <c r="AF67" i="8"/>
  <c r="AG57" i="8"/>
  <c r="AJ69" i="8" l="1"/>
  <c r="AI70" i="8" s="1"/>
  <c r="AJ58" i="8"/>
  <c r="AG61" i="8" s="1"/>
  <c r="AH49" i="8"/>
  <c r="AG50" i="8" s="1"/>
  <c r="AI67" i="8"/>
  <c r="AG69" i="8" s="1"/>
  <c r="AI32" i="8"/>
  <c r="AH33" i="8" s="1"/>
  <c r="AH31" i="8"/>
  <c r="AG32" i="8" s="1"/>
  <c r="AJ59" i="8"/>
  <c r="AH61" i="8" s="1"/>
  <c r="AJ51" i="8"/>
  <c r="AI52" i="8" s="1"/>
  <c r="AJ40" i="8"/>
  <c r="AG43" i="8" s="1"/>
  <c r="AH22" i="8"/>
  <c r="AG23" i="8" s="1"/>
  <c r="AJ22" i="8"/>
  <c r="AG25" i="8" s="1"/>
  <c r="AI22" i="8"/>
  <c r="AG24" i="8" s="1"/>
  <c r="AJ13" i="8"/>
  <c r="AG16" i="8" s="1"/>
  <c r="AJ14" i="8"/>
  <c r="AH16" i="8" s="1"/>
  <c r="AJ4" i="8"/>
  <c r="AG7" i="8" s="1"/>
  <c r="AJ60" i="8"/>
  <c r="AI61" i="8" s="1"/>
  <c r="AH4" i="8"/>
  <c r="AG5" i="8" s="1"/>
  <c r="AI23" i="8"/>
  <c r="AH24" i="8" s="1"/>
  <c r="AJ31" i="8"/>
  <c r="AG34" i="8" s="1"/>
  <c r="AJ24" i="8"/>
  <c r="AI25" i="8" s="1"/>
  <c r="AI50" i="8"/>
  <c r="AH51" i="8" s="1"/>
  <c r="AJ41" i="8"/>
  <c r="AH43" i="8" s="1"/>
  <c r="AJ50" i="8"/>
  <c r="AH52" i="8" s="1"/>
  <c r="AJ42" i="8"/>
  <c r="AI43" i="8" s="1"/>
  <c r="AI68" i="8"/>
  <c r="AH69" i="8" s="1"/>
  <c r="AI59" i="8"/>
  <c r="AH60" i="8" s="1"/>
  <c r="AJ33" i="8"/>
  <c r="AI34" i="8" s="1"/>
  <c r="AJ67" i="8"/>
  <c r="AG70" i="8" s="1"/>
  <c r="AI49" i="8"/>
  <c r="AG51" i="8" s="1"/>
  <c r="AI58" i="8"/>
  <c r="AG60" i="8" s="1"/>
  <c r="AJ49" i="8"/>
  <c r="AG52" i="8" s="1"/>
  <c r="AI31" i="8"/>
  <c r="AG33" i="8" s="1"/>
  <c r="AI13" i="8"/>
  <c r="AG15" i="8" s="1"/>
  <c r="AI4" i="8"/>
  <c r="AG6" i="8" s="1"/>
  <c r="AH67" i="8"/>
  <c r="AG68" i="8" s="1"/>
  <c r="AJ23" i="8"/>
  <c r="AH25" i="8" s="1"/>
  <c r="AH58" i="8"/>
  <c r="AG59" i="8" s="1"/>
  <c r="AJ32" i="8"/>
  <c r="AH34" i="8" s="1"/>
  <c r="AJ15" i="8"/>
  <c r="AI16" i="8" s="1"/>
  <c r="AI5" i="8"/>
  <c r="AH6" i="8" s="1"/>
  <c r="AJ6" i="8"/>
  <c r="AI7" i="8" s="1"/>
  <c r="AI14" i="8"/>
  <c r="AH15" i="8" s="1"/>
  <c r="AI41" i="8"/>
  <c r="AH42" i="8" s="1"/>
  <c r="AJ68" i="8"/>
  <c r="AH70" i="8" s="1"/>
  <c r="AH40" i="8"/>
  <c r="AG41" i="8" s="1"/>
  <c r="AI40" i="8"/>
  <c r="AG42" i="8" s="1"/>
  <c r="AT32" i="1" l="1"/>
  <c r="AR32" i="1"/>
  <c r="AR35" i="1"/>
  <c r="AR41" i="1"/>
  <c r="AT24" i="1"/>
  <c r="AT23" i="1"/>
  <c r="AR24" i="1"/>
  <c r="AR23" i="1"/>
  <c r="AT19" i="1"/>
  <c r="AT18" i="1"/>
  <c r="AT17" i="1"/>
  <c r="AT16" i="1"/>
  <c r="AR19" i="1"/>
  <c r="AR18" i="1"/>
  <c r="AR17" i="1"/>
  <c r="AR16" i="1"/>
  <c r="AR28" i="1" l="1"/>
  <c r="AT28" i="1"/>
  <c r="AR38" i="1"/>
  <c r="K23" i="1" l="1"/>
  <c r="F21" i="8" s="1"/>
  <c r="Y21" i="8" s="1"/>
  <c r="K24" i="1"/>
  <c r="F22" i="8" s="1"/>
  <c r="Y22" i="8" s="1"/>
  <c r="K25" i="1"/>
  <c r="F23" i="8" s="1"/>
  <c r="Y23" i="8" s="1"/>
  <c r="K26" i="1"/>
  <c r="F24" i="8" s="1"/>
  <c r="Y24" i="8" s="1"/>
  <c r="K27" i="1"/>
  <c r="F25" i="8" s="1"/>
  <c r="Y25" i="8" s="1"/>
  <c r="K28" i="1"/>
  <c r="F26" i="8" s="1"/>
  <c r="Y26" i="8" s="1"/>
  <c r="G5" i="1" l="1"/>
  <c r="B3" i="8" s="1"/>
  <c r="X3" i="8" s="1"/>
  <c r="K5" i="1"/>
  <c r="F3" i="8" s="1"/>
  <c r="Y3" i="8" s="1"/>
  <c r="AA5" i="1"/>
  <c r="B39" i="8" s="1"/>
  <c r="X39" i="8" s="1"/>
  <c r="AE5" i="1"/>
  <c r="F39" i="8" s="1"/>
  <c r="Y39" i="8" s="1"/>
  <c r="G6" i="1"/>
  <c r="B4" i="8" s="1"/>
  <c r="X4" i="8" s="1"/>
  <c r="K6" i="1"/>
  <c r="F4" i="8" s="1"/>
  <c r="Y4" i="8" s="1"/>
  <c r="AA6" i="1"/>
  <c r="B40" i="8" s="1"/>
  <c r="X40" i="8" s="1"/>
  <c r="AE6" i="1"/>
  <c r="F40" i="8" s="1"/>
  <c r="Y40" i="8" s="1"/>
  <c r="G7" i="1"/>
  <c r="B5" i="8" s="1"/>
  <c r="X5" i="8" s="1"/>
  <c r="K7" i="1"/>
  <c r="F5" i="8" s="1"/>
  <c r="Y5" i="8" s="1"/>
  <c r="AA7" i="1"/>
  <c r="B41" i="8" s="1"/>
  <c r="X41" i="8" s="1"/>
  <c r="AE7" i="1"/>
  <c r="F41" i="8" s="1"/>
  <c r="Y41" i="8" s="1"/>
  <c r="G8" i="1"/>
  <c r="B6" i="8" s="1"/>
  <c r="K8" i="1"/>
  <c r="F6" i="8" s="1"/>
  <c r="Y6" i="8" s="1"/>
  <c r="AA8" i="1"/>
  <c r="B42" i="8" s="1"/>
  <c r="X42" i="8" s="1"/>
  <c r="AE8" i="1"/>
  <c r="F42" i="8" s="1"/>
  <c r="Y42" i="8" s="1"/>
  <c r="G9" i="1"/>
  <c r="B7" i="8" s="1"/>
  <c r="X7" i="8" s="1"/>
  <c r="K9" i="1"/>
  <c r="F7" i="8" s="1"/>
  <c r="Y7" i="8" s="1"/>
  <c r="AA9" i="1"/>
  <c r="B43" i="8" s="1"/>
  <c r="X43" i="8" s="1"/>
  <c r="AE9" i="1"/>
  <c r="F43" i="8" s="1"/>
  <c r="Y43" i="8" s="1"/>
  <c r="G10" i="1"/>
  <c r="B8" i="8" s="1"/>
  <c r="X8" i="8" s="1"/>
  <c r="K10" i="1"/>
  <c r="F8" i="8" s="1"/>
  <c r="Y8" i="8" s="1"/>
  <c r="AA10" i="1"/>
  <c r="B44" i="8" s="1"/>
  <c r="X44" i="8" s="1"/>
  <c r="AE10" i="1"/>
  <c r="F44" i="8" s="1"/>
  <c r="Y44" i="8" s="1"/>
  <c r="G14" i="1"/>
  <c r="B12" i="8" s="1"/>
  <c r="X12" i="8" s="1"/>
  <c r="K14" i="1"/>
  <c r="F12" i="8" s="1"/>
  <c r="Y12" i="8" s="1"/>
  <c r="AA14" i="1"/>
  <c r="B48" i="8" s="1"/>
  <c r="X48" i="8" s="1"/>
  <c r="AE14" i="1"/>
  <c r="F48" i="8" s="1"/>
  <c r="Y48" i="8" s="1"/>
  <c r="G15" i="1"/>
  <c r="B13" i="8" s="1"/>
  <c r="X13" i="8" s="1"/>
  <c r="K15" i="1"/>
  <c r="F13" i="8" s="1"/>
  <c r="Y13" i="8" s="1"/>
  <c r="AA15" i="1"/>
  <c r="B49" i="8" s="1"/>
  <c r="X49" i="8" s="1"/>
  <c r="AE15" i="1"/>
  <c r="F49" i="8" s="1"/>
  <c r="Y49" i="8" s="1"/>
  <c r="G16" i="1"/>
  <c r="B14" i="8" s="1"/>
  <c r="X14" i="8" s="1"/>
  <c r="K16" i="1"/>
  <c r="F14" i="8" s="1"/>
  <c r="Y14" i="8" s="1"/>
  <c r="AA16" i="1"/>
  <c r="B50" i="8" s="1"/>
  <c r="X50" i="8" s="1"/>
  <c r="AE16" i="1"/>
  <c r="F50" i="8" s="1"/>
  <c r="Y50" i="8" s="1"/>
  <c r="G17" i="1"/>
  <c r="B15" i="8" s="1"/>
  <c r="X15" i="8" s="1"/>
  <c r="K17" i="1"/>
  <c r="F15" i="8" s="1"/>
  <c r="Y15" i="8" s="1"/>
  <c r="AA17" i="1"/>
  <c r="B51" i="8" s="1"/>
  <c r="X51" i="8" s="1"/>
  <c r="AE17" i="1"/>
  <c r="F51" i="8" s="1"/>
  <c r="Y51" i="8" s="1"/>
  <c r="G18" i="1"/>
  <c r="B16" i="8" s="1"/>
  <c r="X16" i="8" s="1"/>
  <c r="K18" i="1"/>
  <c r="F16" i="8" s="1"/>
  <c r="Y16" i="8" s="1"/>
  <c r="AA18" i="1"/>
  <c r="B52" i="8" s="1"/>
  <c r="X52" i="8" s="1"/>
  <c r="AE18" i="1"/>
  <c r="F52" i="8" s="1"/>
  <c r="Y52" i="8" s="1"/>
  <c r="G19" i="1"/>
  <c r="B17" i="8" s="1"/>
  <c r="X17" i="8" s="1"/>
  <c r="K19" i="1"/>
  <c r="F17" i="8" s="1"/>
  <c r="Y17" i="8" s="1"/>
  <c r="AA19" i="1"/>
  <c r="B53" i="8" s="1"/>
  <c r="X53" i="8" s="1"/>
  <c r="AE19" i="1"/>
  <c r="F53" i="8" s="1"/>
  <c r="Y53" i="8" s="1"/>
  <c r="G23" i="1"/>
  <c r="B21" i="8" s="1"/>
  <c r="X21" i="8" s="1"/>
  <c r="AA23" i="1"/>
  <c r="B57" i="8" s="1"/>
  <c r="X57" i="8" s="1"/>
  <c r="AE23" i="1"/>
  <c r="F57" i="8" s="1"/>
  <c r="Y57" i="8" s="1"/>
  <c r="G24" i="1"/>
  <c r="B22" i="8" s="1"/>
  <c r="X22" i="8" s="1"/>
  <c r="AA24" i="1"/>
  <c r="B58" i="8" s="1"/>
  <c r="X58" i="8" s="1"/>
  <c r="AE24" i="1"/>
  <c r="F58" i="8" s="1"/>
  <c r="Y58" i="8" s="1"/>
  <c r="G25" i="1"/>
  <c r="B23" i="8" s="1"/>
  <c r="X23" i="8" s="1"/>
  <c r="AA25" i="1"/>
  <c r="B59" i="8" s="1"/>
  <c r="X59" i="8" s="1"/>
  <c r="AE25" i="1"/>
  <c r="F59" i="8" s="1"/>
  <c r="Y59" i="8" s="1"/>
  <c r="G26" i="1"/>
  <c r="B24" i="8" s="1"/>
  <c r="X24" i="8" s="1"/>
  <c r="AA26" i="1"/>
  <c r="B60" i="8" s="1"/>
  <c r="X60" i="8" s="1"/>
  <c r="AE26" i="1"/>
  <c r="F60" i="8" s="1"/>
  <c r="Y60" i="8" s="1"/>
  <c r="G27" i="1"/>
  <c r="B25" i="8" s="1"/>
  <c r="X25" i="8" s="1"/>
  <c r="AA27" i="1"/>
  <c r="B61" i="8" s="1"/>
  <c r="X61" i="8" s="1"/>
  <c r="AE27" i="1"/>
  <c r="F61" i="8" s="1"/>
  <c r="Y61" i="8" s="1"/>
  <c r="G28" i="1"/>
  <c r="B26" i="8" s="1"/>
  <c r="X26" i="8" s="1"/>
  <c r="AA28" i="1"/>
  <c r="B62" i="8" s="1"/>
  <c r="X62" i="8" s="1"/>
  <c r="AE28" i="1"/>
  <c r="F62" i="8" s="1"/>
  <c r="Y62" i="8" s="1"/>
  <c r="G32" i="1"/>
  <c r="B30" i="8" s="1"/>
  <c r="X30" i="8" s="1"/>
  <c r="K32" i="1"/>
  <c r="F30" i="8" s="1"/>
  <c r="Y30" i="8" s="1"/>
  <c r="AA32" i="1"/>
  <c r="B66" i="8" s="1"/>
  <c r="X66" i="8" s="1"/>
  <c r="AE32" i="1"/>
  <c r="F66" i="8" s="1"/>
  <c r="Y66" i="8" s="1"/>
  <c r="G33" i="1"/>
  <c r="B31" i="8" s="1"/>
  <c r="X31" i="8" s="1"/>
  <c r="K33" i="1"/>
  <c r="F31" i="8" s="1"/>
  <c r="Y31" i="8" s="1"/>
  <c r="AA33" i="1"/>
  <c r="B67" i="8" s="1"/>
  <c r="X67" i="8" s="1"/>
  <c r="AE33" i="1"/>
  <c r="F67" i="8" s="1"/>
  <c r="Y67" i="8" s="1"/>
  <c r="G34" i="1"/>
  <c r="B32" i="8" s="1"/>
  <c r="X32" i="8" s="1"/>
  <c r="K34" i="1"/>
  <c r="F32" i="8" s="1"/>
  <c r="Y32" i="8" s="1"/>
  <c r="AA34" i="1"/>
  <c r="B68" i="8" s="1"/>
  <c r="X68" i="8" s="1"/>
  <c r="AE34" i="1"/>
  <c r="F68" i="8" s="1"/>
  <c r="Y68" i="8" s="1"/>
  <c r="G35" i="1"/>
  <c r="B33" i="8" s="1"/>
  <c r="X33" i="8" s="1"/>
  <c r="K35" i="1"/>
  <c r="F33" i="8" s="1"/>
  <c r="Y33" i="8" s="1"/>
  <c r="AA35" i="1"/>
  <c r="B69" i="8" s="1"/>
  <c r="X69" i="8" s="1"/>
  <c r="AE35" i="1"/>
  <c r="F69" i="8" s="1"/>
  <c r="Y69" i="8" s="1"/>
  <c r="G36" i="1"/>
  <c r="B34" i="8" s="1"/>
  <c r="X34" i="8" s="1"/>
  <c r="K36" i="1"/>
  <c r="F34" i="8" s="1"/>
  <c r="Y34" i="8" s="1"/>
  <c r="AA36" i="1"/>
  <c r="B70" i="8" s="1"/>
  <c r="X70" i="8" s="1"/>
  <c r="AE36" i="1"/>
  <c r="F70" i="8" s="1"/>
  <c r="Y70" i="8" s="1"/>
  <c r="G37" i="1"/>
  <c r="B35" i="8" s="1"/>
  <c r="X35" i="8" s="1"/>
  <c r="K37" i="1"/>
  <c r="F35" i="8" s="1"/>
  <c r="Y35" i="8" s="1"/>
  <c r="AA37" i="1"/>
  <c r="B71" i="8" s="1"/>
  <c r="X71" i="8" s="1"/>
  <c r="AE37" i="1"/>
  <c r="F71" i="8" s="1"/>
  <c r="Y71" i="8" s="1"/>
  <c r="X6" i="8" l="1"/>
  <c r="AC73" i="8" s="1"/>
  <c r="M32" i="8" l="1"/>
  <c r="N59" i="8"/>
  <c r="M71" i="8"/>
  <c r="N70" i="8"/>
  <c r="L34" i="8"/>
  <c r="L53" i="8"/>
  <c r="L44" i="8"/>
  <c r="N35" i="8"/>
  <c r="N24" i="8"/>
  <c r="M15" i="8"/>
  <c r="L57" i="8"/>
  <c r="M43" i="8"/>
  <c r="L50" i="8"/>
  <c r="N61" i="8"/>
  <c r="M34" i="8"/>
  <c r="M60" i="8"/>
  <c r="N51" i="8"/>
  <c r="M7" i="8"/>
  <c r="N66" i="8"/>
  <c r="L68" i="8"/>
  <c r="N12" i="8"/>
  <c r="L69" i="8"/>
  <c r="L33" i="8"/>
  <c r="L14" i="8"/>
  <c r="N44" i="8"/>
  <c r="M30" i="8"/>
  <c r="M59" i="8"/>
  <c r="M57" i="8"/>
  <c r="M6" i="8"/>
  <c r="L32" i="8"/>
  <c r="N30" i="8"/>
  <c r="N6" i="8"/>
  <c r="L60" i="8"/>
  <c r="N71" i="8"/>
  <c r="M26" i="8"/>
  <c r="N60" i="8"/>
  <c r="M17" i="8"/>
  <c r="L25" i="8"/>
  <c r="M53" i="8"/>
  <c r="L48" i="8"/>
  <c r="L42" i="8"/>
  <c r="N57" i="8"/>
  <c r="N8" i="8"/>
  <c r="N26" i="8"/>
  <c r="M24" i="8"/>
  <c r="N34" i="8"/>
  <c r="N39" i="8"/>
  <c r="L8" i="8"/>
  <c r="M48" i="8"/>
  <c r="L17" i="8"/>
  <c r="N17" i="8"/>
  <c r="M25" i="8"/>
  <c r="M52" i="8"/>
  <c r="N25" i="8"/>
  <c r="L6" i="8"/>
  <c r="N53" i="8"/>
  <c r="L61" i="8"/>
  <c r="N7" i="8"/>
  <c r="L16" i="8"/>
  <c r="N69" i="8"/>
  <c r="M5" i="8"/>
  <c r="M41" i="8"/>
  <c r="L5" i="8"/>
  <c r="M16" i="8"/>
  <c r="M42" i="8"/>
  <c r="M50" i="8"/>
  <c r="M51" i="8"/>
  <c r="N52" i="8"/>
  <c r="N43" i="8"/>
  <c r="L43" i="8"/>
  <c r="L62" i="8"/>
  <c r="M61" i="8"/>
  <c r="L39" i="8"/>
  <c r="N62" i="8"/>
  <c r="L70" i="8"/>
  <c r="L24" i="8"/>
  <c r="L15" i="8"/>
  <c r="N21" i="8"/>
  <c r="M35" i="8"/>
  <c r="N14" i="8"/>
  <c r="L7" i="8"/>
  <c r="M8" i="8"/>
  <c r="L51" i="8"/>
  <c r="M23" i="8"/>
  <c r="N32" i="8"/>
  <c r="L30" i="8"/>
  <c r="M68" i="8"/>
  <c r="N33" i="8"/>
  <c r="L35" i="8"/>
  <c r="N16" i="8"/>
  <c r="L41" i="8"/>
  <c r="N15" i="8"/>
  <c r="M39" i="8"/>
  <c r="M33" i="8"/>
  <c r="N23" i="8"/>
  <c r="L12" i="8"/>
  <c r="L23" i="8"/>
  <c r="L59" i="8"/>
  <c r="M14" i="8"/>
  <c r="L66" i="8"/>
  <c r="M12" i="8"/>
  <c r="M69" i="8"/>
  <c r="N41" i="8"/>
  <c r="N68" i="8"/>
  <c r="L71" i="8"/>
  <c r="N48" i="8"/>
  <c r="M70" i="8"/>
  <c r="N42" i="8"/>
  <c r="L26" i="8"/>
  <c r="N5" i="8"/>
  <c r="L21" i="8"/>
  <c r="M62" i="8"/>
  <c r="M66" i="8"/>
  <c r="M44" i="8"/>
  <c r="L52" i="8"/>
  <c r="M21" i="8"/>
  <c r="N50" i="8"/>
  <c r="K44" i="8" l="1"/>
  <c r="K34" i="8"/>
  <c r="R34" i="8"/>
  <c r="K53" i="8"/>
  <c r="K23" i="8"/>
  <c r="R23" i="8"/>
  <c r="K24" i="8"/>
  <c r="R24" i="8"/>
  <c r="R32" i="8"/>
  <c r="K32" i="8"/>
  <c r="R44" i="8"/>
  <c r="K69" i="8"/>
  <c r="R69" i="8"/>
  <c r="K52" i="8"/>
  <c r="R52" i="8"/>
  <c r="R12" i="8"/>
  <c r="K12" i="8"/>
  <c r="K51" i="8"/>
  <c r="R51" i="8"/>
  <c r="R70" i="8"/>
  <c r="K70" i="8"/>
  <c r="K25" i="8"/>
  <c r="R25" i="8"/>
  <c r="K50" i="8"/>
  <c r="R50" i="8"/>
  <c r="K16" i="8"/>
  <c r="R16" i="8"/>
  <c r="K68" i="8"/>
  <c r="R68" i="8"/>
  <c r="R35" i="8"/>
  <c r="K35" i="8"/>
  <c r="K7" i="8"/>
  <c r="R7" i="8"/>
  <c r="R39" i="8"/>
  <c r="K39" i="8"/>
  <c r="K17" i="8"/>
  <c r="R17" i="8"/>
  <c r="K57" i="8"/>
  <c r="R57" i="8"/>
  <c r="R61" i="8"/>
  <c r="K61" i="8"/>
  <c r="R53" i="8"/>
  <c r="R21" i="8"/>
  <c r="K21" i="8"/>
  <c r="R66" i="8"/>
  <c r="K66" i="8"/>
  <c r="K62" i="8"/>
  <c r="R62" i="8"/>
  <c r="K5" i="8"/>
  <c r="R5" i="8"/>
  <c r="K60" i="8"/>
  <c r="R60" i="8"/>
  <c r="K71" i="8"/>
  <c r="R71" i="8"/>
  <c r="R41" i="8"/>
  <c r="K41" i="8"/>
  <c r="R30" i="8"/>
  <c r="K30" i="8"/>
  <c r="K43" i="8"/>
  <c r="R43" i="8"/>
  <c r="R6" i="8"/>
  <c r="K6" i="8"/>
  <c r="R42" i="8"/>
  <c r="K42" i="8"/>
  <c r="K14" i="8"/>
  <c r="R14" i="8"/>
  <c r="R26" i="8"/>
  <c r="K26" i="8"/>
  <c r="K59" i="8"/>
  <c r="R59" i="8"/>
  <c r="R15" i="8"/>
  <c r="K15" i="8"/>
  <c r="K8" i="8"/>
  <c r="R8" i="8"/>
  <c r="K48" i="8"/>
  <c r="R48" i="8"/>
  <c r="K33" i="8"/>
  <c r="R33" i="8"/>
  <c r="AL15" i="8"/>
  <c r="F75" i="8" l="1"/>
  <c r="AL16" i="8"/>
  <c r="AL17" i="8"/>
  <c r="AM14" i="8"/>
  <c r="AL14" i="8"/>
  <c r="AM15" i="8"/>
  <c r="AM16" i="8"/>
  <c r="AM17" i="8"/>
  <c r="F76" i="8" l="1"/>
  <c r="AM20" i="8"/>
  <c r="AL21" i="8"/>
  <c r="AN18" i="8" l="1"/>
  <c r="AL20" i="8"/>
  <c r="AM21" i="8"/>
  <c r="AN22" i="8" l="1"/>
  <c r="F77" i="8"/>
  <c r="AM24" i="8"/>
  <c r="AM27" i="8" l="1"/>
  <c r="AL24" i="8"/>
  <c r="AL27" i="8"/>
  <c r="F78" i="8" l="1"/>
  <c r="F81" i="8" l="1"/>
  <c r="O59" i="8" s="1"/>
  <c r="P70" i="8"/>
  <c r="O61" i="8"/>
  <c r="O66" i="8"/>
  <c r="O12" i="8"/>
  <c r="P7" i="8"/>
  <c r="P6" i="8"/>
  <c r="O8" i="8" l="1"/>
  <c r="P8" i="8"/>
  <c r="P42" i="8"/>
  <c r="P50" i="8"/>
  <c r="O30" i="8"/>
  <c r="P14" i="8"/>
  <c r="O48" i="8"/>
  <c r="P24" i="8"/>
  <c r="P39" i="8"/>
  <c r="O44" i="8"/>
  <c r="O35" i="8"/>
  <c r="P71" i="8"/>
  <c r="O15" i="8"/>
  <c r="O57" i="8"/>
  <c r="O21" i="8"/>
  <c r="O6" i="8"/>
  <c r="Q6" i="8" s="1"/>
  <c r="O42" i="8"/>
  <c r="Q42" i="8" s="1"/>
  <c r="O62" i="8"/>
  <c r="O53" i="8"/>
  <c r="P12" i="8"/>
  <c r="P15" i="8"/>
  <c r="Q15" i="8" s="1"/>
  <c r="O14" i="8"/>
  <c r="O23" i="8"/>
  <c r="P41" i="8"/>
  <c r="P35" i="8"/>
  <c r="P16" i="8"/>
  <c r="O25" i="8"/>
  <c r="P48" i="8"/>
  <c r="P69" i="8"/>
  <c r="O39" i="8"/>
  <c r="O52" i="8"/>
  <c r="P51" i="8"/>
  <c r="P5" i="8"/>
  <c r="P25" i="8"/>
  <c r="P17" i="8"/>
  <c r="P66" i="8"/>
  <c r="O32" i="8"/>
  <c r="O17" i="8"/>
  <c r="P43" i="8"/>
  <c r="O7" i="8"/>
  <c r="Q7" i="8" s="1"/>
  <c r="O60" i="8"/>
  <c r="O70" i="8"/>
  <c r="Q70" i="8" s="1"/>
  <c r="P57" i="8"/>
  <c r="P23" i="8"/>
  <c r="P59" i="8"/>
  <c r="Q59" i="8" s="1"/>
  <c r="P26" i="8"/>
  <c r="O5" i="8"/>
  <c r="P62" i="8"/>
  <c r="P30" i="8"/>
  <c r="P32" i="8"/>
  <c r="O50" i="8"/>
  <c r="Q50" i="8" s="1"/>
  <c r="P21" i="8"/>
  <c r="P33" i="8"/>
  <c r="P60" i="8"/>
  <c r="P68" i="8"/>
  <c r="P34" i="8"/>
  <c r="O51" i="8"/>
  <c r="P53" i="8"/>
  <c r="P61" i="8"/>
  <c r="Q61" i="8" s="1"/>
  <c r="O16" i="8"/>
  <c r="P52" i="8"/>
  <c r="P44" i="8"/>
  <c r="O24" i="8"/>
  <c r="O41" i="8"/>
  <c r="O26" i="8"/>
  <c r="O71" i="8"/>
  <c r="O69" i="8"/>
  <c r="O43" i="8"/>
  <c r="O68" i="8"/>
  <c r="O33" i="8"/>
  <c r="O34" i="8"/>
  <c r="Q8" i="8" l="1"/>
  <c r="Q14" i="8"/>
  <c r="Q35" i="8"/>
  <c r="Q62" i="8"/>
  <c r="Q44" i="8"/>
  <c r="Q71" i="8"/>
  <c r="Q41" i="8"/>
  <c r="T62" i="8"/>
  <c r="Q53" i="8"/>
  <c r="Q69" i="8"/>
  <c r="Q23" i="8"/>
  <c r="Q52" i="8"/>
  <c r="Q25" i="8"/>
  <c r="T59" i="8"/>
  <c r="Q17" i="8"/>
  <c r="Q32" i="8"/>
  <c r="T6" i="8"/>
  <c r="T14" i="8"/>
  <c r="T52" i="8"/>
  <c r="Q60" i="8"/>
  <c r="U60" i="8" s="1"/>
  <c r="T60" i="8"/>
  <c r="T61" i="8"/>
  <c r="T7" i="8"/>
  <c r="T5" i="8"/>
  <c r="Q5" i="8"/>
  <c r="U7" i="8" s="1"/>
  <c r="T8" i="8"/>
  <c r="Q26" i="8"/>
  <c r="Q51" i="8"/>
  <c r="Q34" i="8"/>
  <c r="T53" i="8"/>
  <c r="T51" i="8"/>
  <c r="T50" i="8"/>
  <c r="T16" i="8"/>
  <c r="T17" i="8"/>
  <c r="Q16" i="8"/>
  <c r="T15" i="8"/>
  <c r="T23" i="8"/>
  <c r="Q24" i="8"/>
  <c r="T24" i="8"/>
  <c r="T26" i="8"/>
  <c r="T43" i="8"/>
  <c r="T25" i="8"/>
  <c r="T71" i="8"/>
  <c r="T32" i="8"/>
  <c r="T35" i="8"/>
  <c r="T70" i="8"/>
  <c r="T44" i="8"/>
  <c r="Q33" i="8"/>
  <c r="T68" i="8"/>
  <c r="T41" i="8"/>
  <c r="T34" i="8"/>
  <c r="T33" i="8"/>
  <c r="Q68" i="8"/>
  <c r="T42" i="8"/>
  <c r="Q43" i="8"/>
  <c r="T69" i="8"/>
  <c r="U44" i="8" l="1"/>
  <c r="U6" i="8"/>
  <c r="V6" i="8" s="1"/>
  <c r="U50" i="8"/>
  <c r="V50" i="8" s="1"/>
  <c r="U71" i="8"/>
  <c r="V71" i="8" s="1"/>
  <c r="U16" i="8"/>
  <c r="V16" i="8" s="1"/>
  <c r="V60" i="8"/>
  <c r="U62" i="8"/>
  <c r="V62" i="8" s="1"/>
  <c r="U59" i="8"/>
  <c r="V59" i="8" s="1"/>
  <c r="U61" i="8"/>
  <c r="V61" i="8" s="1"/>
  <c r="V7" i="8"/>
  <c r="U5" i="8"/>
  <c r="V5" i="8" s="1"/>
  <c r="U8" i="8"/>
  <c r="V8" i="8" s="1"/>
  <c r="U26" i="8"/>
  <c r="V26" i="8" s="1"/>
  <c r="U51" i="8"/>
  <c r="V51" i="8" s="1"/>
  <c r="U53" i="8"/>
  <c r="V53" i="8" s="1"/>
  <c r="U52" i="8"/>
  <c r="V52" i="8" s="1"/>
  <c r="U34" i="8"/>
  <c r="V34" i="8" s="1"/>
  <c r="U15" i="8"/>
  <c r="V15" i="8" s="1"/>
  <c r="U17" i="8"/>
  <c r="V17" i="8" s="1"/>
  <c r="U14" i="8"/>
  <c r="V14" i="8" s="1"/>
  <c r="U33" i="8"/>
  <c r="V33" i="8" s="1"/>
  <c r="U25" i="8"/>
  <c r="V25" i="8" s="1"/>
  <c r="U23" i="8"/>
  <c r="V23" i="8" s="1"/>
  <c r="U24" i="8"/>
  <c r="V24" i="8" s="1"/>
  <c r="V44" i="8"/>
  <c r="U35" i="8"/>
  <c r="V35" i="8" s="1"/>
  <c r="U32" i="8"/>
  <c r="V32" i="8" s="1"/>
  <c r="U42" i="8"/>
  <c r="V42" i="8" s="1"/>
  <c r="U69" i="8"/>
  <c r="V69" i="8" s="1"/>
  <c r="U68" i="8"/>
  <c r="V68" i="8" s="1"/>
  <c r="U70" i="8"/>
  <c r="V70" i="8" s="1"/>
  <c r="U43" i="8"/>
  <c r="V43" i="8" s="1"/>
  <c r="U41" i="8"/>
  <c r="V41" i="8" s="1"/>
  <c r="I5" i="8" l="1"/>
  <c r="I61" i="8"/>
  <c r="I59" i="8"/>
  <c r="I60" i="8"/>
  <c r="I8" i="8"/>
  <c r="I62" i="8"/>
  <c r="I6" i="8"/>
  <c r="I7" i="8"/>
  <c r="I53" i="8"/>
  <c r="I50" i="8"/>
  <c r="I52" i="8"/>
  <c r="I51" i="8"/>
  <c r="I14" i="8"/>
  <c r="I17" i="8"/>
  <c r="I15" i="8"/>
  <c r="I16" i="8"/>
  <c r="I25" i="8"/>
  <c r="I26" i="8"/>
  <c r="I23" i="8"/>
  <c r="I24" i="8"/>
  <c r="I35" i="8"/>
  <c r="I69" i="8"/>
  <c r="I43" i="8"/>
  <c r="I71" i="8"/>
  <c r="I44" i="8"/>
  <c r="I70" i="8"/>
  <c r="I68" i="8"/>
  <c r="I32" i="8"/>
  <c r="I34" i="8"/>
  <c r="I41" i="8"/>
  <c r="I42" i="8"/>
  <c r="I33" i="8"/>
  <c r="N9" i="1" l="1"/>
  <c r="V9" i="1"/>
  <c r="P8" i="1"/>
  <c r="O9" i="1"/>
  <c r="O8" i="1"/>
  <c r="Q9" i="1"/>
  <c r="S9" i="1"/>
  <c r="R8" i="1"/>
  <c r="P9" i="1"/>
  <c r="U8" i="1"/>
  <c r="U9" i="1"/>
  <c r="S8" i="1"/>
  <c r="T9" i="1"/>
  <c r="R9" i="1"/>
  <c r="AM25" i="1"/>
  <c r="AL25" i="1"/>
  <c r="AM27" i="1"/>
  <c r="AK25" i="1"/>
  <c r="AH26" i="1"/>
  <c r="AH24" i="1"/>
  <c r="AR11" i="1" s="1"/>
  <c r="AI24" i="1"/>
  <c r="AK27" i="1"/>
  <c r="AI27" i="1"/>
  <c r="AH25" i="1"/>
  <c r="AT12" i="1" s="1"/>
  <c r="AO27" i="1"/>
  <c r="AI25" i="1"/>
  <c r="AL26" i="1"/>
  <c r="AL24" i="1"/>
  <c r="AO25" i="1"/>
  <c r="AM26" i="1"/>
  <c r="AN26" i="1"/>
  <c r="AJ27" i="1"/>
  <c r="AH27" i="1"/>
  <c r="AP27" i="1"/>
  <c r="AP24" i="1"/>
  <c r="AJ24" i="1"/>
  <c r="AP26" i="1"/>
  <c r="AO26" i="1"/>
  <c r="AK26" i="1"/>
  <c r="AK24" i="1"/>
  <c r="AN27" i="1"/>
  <c r="AN24" i="1"/>
  <c r="AJ25" i="1"/>
  <c r="AO24" i="1"/>
  <c r="AM24" i="1"/>
  <c r="AL27" i="1"/>
  <c r="AJ26" i="1"/>
  <c r="AP25" i="1"/>
  <c r="AN25" i="1"/>
  <c r="AI26" i="1"/>
  <c r="R6" i="1"/>
  <c r="P6" i="1"/>
  <c r="T7" i="1"/>
  <c r="N7" i="1"/>
  <c r="AT6" i="1" s="1"/>
  <c r="S6" i="1"/>
  <c r="R7" i="1"/>
  <c r="Q6" i="1"/>
  <c r="O7" i="1"/>
  <c r="N6" i="1"/>
  <c r="AR5" i="1" s="1"/>
  <c r="Q7" i="1"/>
  <c r="U7" i="1"/>
  <c r="V6" i="1"/>
  <c r="V7" i="1"/>
  <c r="O6" i="1"/>
  <c r="Q8" i="1"/>
  <c r="P7" i="1"/>
  <c r="T6" i="1"/>
  <c r="U6" i="1"/>
  <c r="N8" i="1"/>
  <c r="V8" i="1"/>
  <c r="T8" i="1"/>
  <c r="S7" i="1"/>
  <c r="AK36" i="1"/>
  <c r="AN18" i="1"/>
  <c r="AO17" i="1"/>
  <c r="AL17" i="1"/>
  <c r="AN17" i="1"/>
  <c r="AJ17" i="1"/>
  <c r="AK16" i="1"/>
  <c r="AL15" i="1"/>
  <c r="AP16" i="1"/>
  <c r="AI16" i="1"/>
  <c r="AL9" i="1"/>
  <c r="AH16" i="1"/>
  <c r="AT9" i="1" s="1"/>
  <c r="AO16" i="1"/>
  <c r="AK18" i="1"/>
  <c r="AK17" i="1"/>
  <c r="AH15" i="1"/>
  <c r="AR10" i="1" s="1"/>
  <c r="AL16" i="1"/>
  <c r="AI17" i="1"/>
  <c r="AI15" i="1"/>
  <c r="AM18" i="1"/>
  <c r="AJ18" i="1"/>
  <c r="AP17" i="1"/>
  <c r="AP18" i="1"/>
  <c r="AL18" i="1"/>
  <c r="AM15" i="1"/>
  <c r="AH17" i="1"/>
  <c r="AM17" i="1"/>
  <c r="AN16" i="1"/>
  <c r="AN15" i="1"/>
  <c r="AJ16" i="1"/>
  <c r="AH18" i="1"/>
  <c r="AP15" i="1"/>
  <c r="AK15" i="1"/>
  <c r="AO15" i="1"/>
  <c r="AI18" i="1"/>
  <c r="AM16" i="1"/>
  <c r="AJ15" i="1"/>
  <c r="AO18" i="1"/>
  <c r="P36" i="1"/>
  <c r="V27" i="1"/>
  <c r="O17" i="1"/>
  <c r="V17" i="1"/>
  <c r="U16" i="1"/>
  <c r="N15" i="1"/>
  <c r="AR6" i="1" s="1"/>
  <c r="Q15" i="1"/>
  <c r="P16" i="1"/>
  <c r="U15" i="1"/>
  <c r="O15" i="1"/>
  <c r="R16" i="1"/>
  <c r="Q17" i="1"/>
  <c r="U17" i="1"/>
  <c r="V15" i="1"/>
  <c r="Q16" i="1"/>
  <c r="N18" i="1"/>
  <c r="V16" i="1"/>
  <c r="R17" i="1"/>
  <c r="S17" i="1"/>
  <c r="N17" i="1"/>
  <c r="S16" i="1"/>
  <c r="N16" i="1"/>
  <c r="AT5" i="1" s="1"/>
  <c r="R15" i="1"/>
  <c r="T16" i="1"/>
  <c r="S18" i="1"/>
  <c r="U18" i="1"/>
  <c r="P17" i="1"/>
  <c r="S15" i="1"/>
  <c r="O16" i="1"/>
  <c r="Q18" i="1"/>
  <c r="V18" i="1"/>
  <c r="P18" i="1"/>
  <c r="T17" i="1"/>
  <c r="P15" i="1"/>
  <c r="O18" i="1"/>
  <c r="T15" i="1"/>
  <c r="R18" i="1"/>
  <c r="T18" i="1"/>
  <c r="R27" i="1"/>
  <c r="O27" i="1"/>
  <c r="U26" i="1"/>
  <c r="V24" i="1"/>
  <c r="N26" i="1"/>
  <c r="Q27" i="1"/>
  <c r="V26" i="1"/>
  <c r="T27" i="1"/>
  <c r="N27" i="1"/>
  <c r="U27" i="1"/>
  <c r="P24" i="1"/>
  <c r="N24" i="1"/>
  <c r="AR7" i="1" s="1"/>
  <c r="P25" i="1"/>
  <c r="T25" i="1"/>
  <c r="T26" i="1"/>
  <c r="S25" i="1"/>
  <c r="R25" i="1"/>
  <c r="S26" i="1"/>
  <c r="Q24" i="1"/>
  <c r="T24" i="1"/>
  <c r="O25" i="1"/>
  <c r="R26" i="1"/>
  <c r="O24" i="1"/>
  <c r="Q25" i="1"/>
  <c r="U24" i="1"/>
  <c r="V25" i="1"/>
  <c r="N25" i="1"/>
  <c r="AT8" i="1" s="1"/>
  <c r="R24" i="1"/>
  <c r="U25" i="1"/>
  <c r="O26" i="1"/>
  <c r="S27" i="1"/>
  <c r="Q26" i="1"/>
  <c r="S24" i="1"/>
  <c r="P26" i="1"/>
  <c r="P27" i="1"/>
  <c r="AL34" i="1"/>
  <c r="AM7" i="1"/>
  <c r="AK33" i="1"/>
  <c r="AI8" i="1"/>
  <c r="AP8" i="1"/>
  <c r="AK7" i="1"/>
  <c r="AK6" i="1"/>
  <c r="AJ8" i="1"/>
  <c r="AH6" i="1"/>
  <c r="AR9" i="1" s="1"/>
  <c r="AH35" i="1"/>
  <c r="AP33" i="1"/>
  <c r="AN34" i="1"/>
  <c r="AM33" i="1"/>
  <c r="AJ34" i="1"/>
  <c r="AO35" i="1"/>
  <c r="AN33" i="1"/>
  <c r="AN9" i="1"/>
  <c r="AO8" i="1"/>
  <c r="AL36" i="1"/>
  <c r="AM9" i="1"/>
  <c r="AJ36" i="1"/>
  <c r="AH34" i="1"/>
  <c r="AT11" i="1" s="1"/>
  <c r="AH36" i="1"/>
  <c r="AM35" i="1"/>
  <c r="AI36" i="1"/>
  <c r="AP35" i="1"/>
  <c r="AP36" i="1"/>
  <c r="R36" i="1"/>
  <c r="N36" i="1"/>
  <c r="V36" i="1"/>
  <c r="Q36" i="1"/>
  <c r="AH8" i="1"/>
  <c r="AP34" i="1"/>
  <c r="AL6" i="1"/>
  <c r="AN6" i="1"/>
  <c r="AO6" i="1"/>
  <c r="AK9" i="1"/>
  <c r="AI9" i="1"/>
  <c r="AN35" i="1"/>
  <c r="AO36" i="1"/>
  <c r="AP6" i="1"/>
  <c r="AJ35" i="1"/>
  <c r="AI34" i="1"/>
  <c r="AK35" i="1"/>
  <c r="AI33" i="1"/>
  <c r="AI35" i="1"/>
  <c r="AM36" i="1"/>
  <c r="AL33" i="1"/>
  <c r="AL35" i="1"/>
  <c r="AN36" i="1"/>
  <c r="AK34" i="1"/>
  <c r="AH33" i="1"/>
  <c r="AR12" i="1" s="1"/>
  <c r="AI7" i="1"/>
  <c r="AN7" i="1"/>
  <c r="AO34" i="1"/>
  <c r="AJ33" i="1"/>
  <c r="R35" i="1"/>
  <c r="AM34" i="1"/>
  <c r="Q33" i="1"/>
  <c r="AH7" i="1"/>
  <c r="AT10" i="1" s="1"/>
  <c r="AJ7" i="1"/>
  <c r="N34" i="1"/>
  <c r="AT7" i="1" s="1"/>
  <c r="AO33" i="1"/>
  <c r="S36" i="1"/>
  <c r="U36" i="1"/>
  <c r="AJ6" i="1"/>
  <c r="O35" i="1"/>
  <c r="N35" i="1"/>
  <c r="AO9" i="1"/>
  <c r="T36" i="1"/>
  <c r="O36" i="1"/>
  <c r="AJ9" i="1"/>
  <c r="S35" i="1"/>
  <c r="T33" i="1"/>
  <c r="Q35" i="1"/>
  <c r="AM8" i="1"/>
  <c r="AP9" i="1"/>
  <c r="AH9" i="1"/>
  <c r="T35" i="1"/>
  <c r="P33" i="1"/>
  <c r="T34" i="1"/>
  <c r="V34" i="1"/>
  <c r="R33" i="1"/>
  <c r="Q34" i="1"/>
  <c r="O34" i="1"/>
  <c r="S33" i="1"/>
  <c r="R34" i="1"/>
  <c r="S34" i="1"/>
  <c r="U34" i="1"/>
  <c r="P34" i="1"/>
  <c r="AP7" i="1"/>
  <c r="AL8" i="1"/>
  <c r="V35" i="1"/>
  <c r="V33" i="1"/>
  <c r="AK8" i="1"/>
  <c r="AO7" i="1"/>
  <c r="AI6" i="1"/>
  <c r="O33" i="1"/>
  <c r="U33" i="1"/>
  <c r="AN8" i="1"/>
  <c r="AL7" i="1"/>
  <c r="P35" i="1"/>
  <c r="N33" i="1"/>
  <c r="AR8" i="1" s="1"/>
  <c r="U35" i="1"/>
  <c r="AM6" i="1"/>
  <c r="AM3" i="8" l="1"/>
  <c r="AM4" i="8"/>
  <c r="AL4" i="8"/>
  <c r="AM7" i="8"/>
  <c r="AL7" i="8"/>
  <c r="AL5" i="8"/>
  <c r="AL3" i="8"/>
  <c r="AL9" i="8"/>
  <c r="AL6" i="8"/>
  <c r="AM5" i="8"/>
  <c r="AM6" i="8"/>
  <c r="AL8" i="8"/>
  <c r="AM8" i="8"/>
  <c r="AL10" i="8"/>
  <c r="AM9" i="8"/>
  <c r="AM10" i="8"/>
  <c r="AD73" i="8"/>
  <c r="AN11" i="8" l="1"/>
  <c r="AM36" i="8" s="1"/>
</calcChain>
</file>

<file path=xl/sharedStrings.xml><?xml version="1.0" encoding="utf-8"?>
<sst xmlns="http://schemas.openxmlformats.org/spreadsheetml/2006/main" count="628" uniqueCount="310">
  <si>
    <t>GF</t>
  </si>
  <si>
    <t>GC</t>
  </si>
  <si>
    <t>DG</t>
  </si>
  <si>
    <t>Grupo A</t>
  </si>
  <si>
    <t>EQUIPO</t>
  </si>
  <si>
    <t>Arabia Saudí</t>
  </si>
  <si>
    <t>Uruguay</t>
  </si>
  <si>
    <t>Irán</t>
  </si>
  <si>
    <t>Marruecos</t>
  </si>
  <si>
    <t>Portugal</t>
  </si>
  <si>
    <t>España</t>
  </si>
  <si>
    <t>Australia</t>
  </si>
  <si>
    <t>Dinamarca</t>
  </si>
  <si>
    <t>Francia</t>
  </si>
  <si>
    <t>Grupo B</t>
  </si>
  <si>
    <t>Grupo C</t>
  </si>
  <si>
    <t>Grupo D</t>
  </si>
  <si>
    <t>Grupo E</t>
  </si>
  <si>
    <t>Grupo F</t>
  </si>
  <si>
    <t>Grupo G</t>
  </si>
  <si>
    <t>Grupo H</t>
  </si>
  <si>
    <t>#</t>
  </si>
  <si>
    <t>CUARTOS DE FINAL</t>
  </si>
  <si>
    <t>Argentina</t>
  </si>
  <si>
    <t>Croacia</t>
  </si>
  <si>
    <t>Brasil</t>
  </si>
  <si>
    <t>Costa Rica</t>
  </si>
  <si>
    <t>Suiza</t>
  </si>
  <si>
    <t>Serbia</t>
  </si>
  <si>
    <t>Alemania</t>
  </si>
  <si>
    <t>Corea del Sur</t>
  </si>
  <si>
    <t>México</t>
  </si>
  <si>
    <t>Bélgica</t>
  </si>
  <si>
    <t>Inglaterra</t>
  </si>
  <si>
    <t>Túnez</t>
  </si>
  <si>
    <t>Japón</t>
  </si>
  <si>
    <t>Polonia</t>
  </si>
  <si>
    <t>Senegal</t>
  </si>
  <si>
    <t>-</t>
  </si>
  <si>
    <t>SEMIFINALES</t>
  </si>
  <si>
    <t>FINAL</t>
  </si>
  <si>
    <t>PT</t>
  </si>
  <si>
    <t>OCTAVOS DE FINAL</t>
  </si>
  <si>
    <t>PJ</t>
  </si>
  <si>
    <t>PG</t>
  </si>
  <si>
    <t>PE</t>
  </si>
  <si>
    <t>PP</t>
  </si>
  <si>
    <t>DGRank</t>
  </si>
  <si>
    <t>FifaRank</t>
  </si>
  <si>
    <t>GFRank</t>
  </si>
  <si>
    <t>TotalRank</t>
  </si>
  <si>
    <t>CAMPEÓN DEL MUNDO</t>
  </si>
  <si>
    <t>Octavos Selección</t>
  </si>
  <si>
    <t>Cuartos Selección</t>
  </si>
  <si>
    <t>Semis Selección</t>
  </si>
  <si>
    <t>3/4 Selección</t>
  </si>
  <si>
    <t>Final Selección</t>
  </si>
  <si>
    <t>EQUIPOS</t>
  </si>
  <si>
    <t>CLASIFICACIÓN</t>
  </si>
  <si>
    <t>RESULTADOS</t>
  </si>
  <si>
    <t>GRUPO A</t>
  </si>
  <si>
    <t>GRUPO B</t>
  </si>
  <si>
    <t>GRUPO C</t>
  </si>
  <si>
    <t>GRUPO D</t>
  </si>
  <si>
    <t>GRUPO E</t>
  </si>
  <si>
    <t>GRUPO F</t>
  </si>
  <si>
    <t>GRUPO G</t>
  </si>
  <si>
    <t>GRUPO H</t>
  </si>
  <si>
    <t>TERCER Y CUARTO PUESTO</t>
  </si>
  <si>
    <t>SEGUNDO CLASIFICADO</t>
  </si>
  <si>
    <t>TERCER CLASIFICADO</t>
  </si>
  <si>
    <t>Grupo incompleto (faltan partidos por definir)</t>
  </si>
  <si>
    <t>GANADOR</t>
  </si>
  <si>
    <t>GANADORES</t>
  </si>
  <si>
    <t>MÁXIMO GOLEADOR</t>
  </si>
  <si>
    <t>Selección</t>
  </si>
  <si>
    <t>Jugador</t>
  </si>
  <si>
    <t>Puestos de grupo acertados</t>
  </si>
  <si>
    <t>Qatar</t>
  </si>
  <si>
    <t>Ecuador</t>
  </si>
  <si>
    <t>Países Bajos</t>
  </si>
  <si>
    <t>EEUU</t>
  </si>
  <si>
    <t>Gales</t>
  </si>
  <si>
    <t>Canadá</t>
  </si>
  <si>
    <t>Camerún</t>
  </si>
  <si>
    <t>Ghana</t>
  </si>
  <si>
    <t>Putos resultado</t>
  </si>
  <si>
    <t>Puntos 1X2</t>
  </si>
  <si>
    <t>Total</t>
  </si>
  <si>
    <t>Ganador</t>
  </si>
  <si>
    <t>Goleador</t>
  </si>
  <si>
    <t>Equipos clasificados</t>
  </si>
  <si>
    <t>Total Puntos</t>
  </si>
  <si>
    <t>Grupos Completos</t>
  </si>
  <si>
    <t>Octavos Completos</t>
  </si>
  <si>
    <t>Cuartos Completos</t>
  </si>
  <si>
    <t>Semis Completas</t>
  </si>
  <si>
    <t>3y4 Completo</t>
  </si>
  <si>
    <t>Final Completa</t>
  </si>
  <si>
    <t>Torneo Completo</t>
  </si>
  <si>
    <t>Robin Gosens</t>
  </si>
  <si>
    <t>Jamal Musiala</t>
  </si>
  <si>
    <t>Kai Havertz</t>
  </si>
  <si>
    <t>Leroy Sané</t>
  </si>
  <si>
    <t>Serge Gnabry</t>
  </si>
  <si>
    <t>Jonas Hofmann</t>
  </si>
  <si>
    <t>Thomas Müller</t>
  </si>
  <si>
    <t>Timo Werner</t>
  </si>
  <si>
    <t>Lukas Nmecha</t>
  </si>
  <si>
    <t>Firas Al-Buraikan</t>
  </si>
  <si>
    <t>Saleh Al-Shehri</t>
  </si>
  <si>
    <t>Haitham Asiri</t>
  </si>
  <si>
    <t>Abdullah Al-Hamdan</t>
  </si>
  <si>
    <t>Abdullah Radif</t>
  </si>
  <si>
    <t>Ángel Correa</t>
  </si>
  <si>
    <t>Ángel Di María</t>
  </si>
  <si>
    <t>Lionel Messi</t>
  </si>
  <si>
    <t>Joaquín Correa</t>
  </si>
  <si>
    <t>Lautaro Martínez</t>
  </si>
  <si>
    <t>Julián Álvarez</t>
  </si>
  <si>
    <t>Jamie Maclaren</t>
  </si>
  <si>
    <t>Adam Taggart</t>
  </si>
  <si>
    <t>Jason Cummings</t>
  </si>
  <si>
    <t>Mitchell Duke</t>
  </si>
  <si>
    <t>Garang Kuol</t>
  </si>
  <si>
    <t>Yannick Carrasco</t>
  </si>
  <si>
    <t>Leandro Trossard</t>
  </si>
  <si>
    <t>Eden Hazard</t>
  </si>
  <si>
    <t>Thorgan Hazard</t>
  </si>
  <si>
    <t>Alexis Saelemaekers</t>
  </si>
  <si>
    <t>Dodi Lukébakio</t>
  </si>
  <si>
    <t>Loïs Openda</t>
  </si>
  <si>
    <t>Michy Batshuayi</t>
  </si>
  <si>
    <t>Dries Mertens</t>
  </si>
  <si>
    <t>Lucas Paquetá</t>
  </si>
  <si>
    <t>Vinicius Junior</t>
  </si>
  <si>
    <t>Neymar</t>
  </si>
  <si>
    <t>Antony</t>
  </si>
  <si>
    <t>Rodrygo</t>
  </si>
  <si>
    <t>Raphinha</t>
  </si>
  <si>
    <t>Richarlison</t>
  </si>
  <si>
    <t>Matheus Cunha</t>
  </si>
  <si>
    <t>Roberto Firmino</t>
  </si>
  <si>
    <t>Pedro</t>
  </si>
  <si>
    <t>Karl Toko Ekambi</t>
  </si>
  <si>
    <t>Georges-Kevin N'Koudou</t>
  </si>
  <si>
    <t>Nicolas Moumi Ngamaleu</t>
  </si>
  <si>
    <t>Bryan Mbeumo</t>
  </si>
  <si>
    <t>Vincent Aboubakar</t>
  </si>
  <si>
    <t>Jean-Pierre Nsame</t>
  </si>
  <si>
    <t>Léandre Tawamba</t>
  </si>
  <si>
    <t>Mathieu Choinière</t>
  </si>
  <si>
    <t>Jayden Nelson</t>
  </si>
  <si>
    <t>Jacob Shaffelburg</t>
  </si>
  <si>
    <t>Ayo Akinola</t>
  </si>
  <si>
    <t>Lucas Cavallini</t>
  </si>
  <si>
    <t>Heung-min Son</t>
  </si>
  <si>
    <t>Sang-ho Na</t>
  </si>
  <si>
    <t>Chang-hoon Kwon</t>
  </si>
  <si>
    <t>Young-wook Cho</t>
  </si>
  <si>
    <t>Hyun-jun Yang</t>
  </si>
  <si>
    <t>Woo-yeong Jeong</t>
  </si>
  <si>
    <t>Hee-chan Hwang</t>
  </si>
  <si>
    <t>Ui-jo Hwang</t>
  </si>
  <si>
    <t>Brandon Aguilera</t>
  </si>
  <si>
    <t>Joel Campbell</t>
  </si>
  <si>
    <t>Carlos Mora</t>
  </si>
  <si>
    <t>Anthony Hernández</t>
  </si>
  <si>
    <t>Jeaustine Monge</t>
  </si>
  <si>
    <t>Julen Cordero</t>
  </si>
  <si>
    <t>Ivan Perisic</t>
  </si>
  <si>
    <t>Mario Pasalic</t>
  </si>
  <si>
    <t>Lovro Majer</t>
  </si>
  <si>
    <t>Nikola Vlasic</t>
  </si>
  <si>
    <t>Mislav Orsic</t>
  </si>
  <si>
    <t>Andrej Kramaric</t>
  </si>
  <si>
    <t>Marko Livaja</t>
  </si>
  <si>
    <t>Bruno Petkovic</t>
  </si>
  <si>
    <t>Ante Budimir</t>
  </si>
  <si>
    <t>Romeo Lukaku</t>
  </si>
  <si>
    <t>Robert Skov</t>
  </si>
  <si>
    <t>Kasper Dolberg</t>
  </si>
  <si>
    <t>Rasmus Höjlund</t>
  </si>
  <si>
    <t>Andreas Cornelius</t>
  </si>
  <si>
    <t>Martin Braithwaite</t>
  </si>
  <si>
    <t>Romario Ibarra</t>
  </si>
  <si>
    <t>Gonzalo Plata</t>
  </si>
  <si>
    <t>Ángel Mena</t>
  </si>
  <si>
    <t>Anthony Valencia</t>
  </si>
  <si>
    <t>Michael Estrada</t>
  </si>
  <si>
    <t>Enner Valencia</t>
  </si>
  <si>
    <t>Djorkaeff Reasco</t>
  </si>
  <si>
    <t>Giovanni Reyna</t>
  </si>
  <si>
    <t>Brenden Aaronson</t>
  </si>
  <si>
    <t>Malik Tillman</t>
  </si>
  <si>
    <t>Jordan Morris</t>
  </si>
  <si>
    <t>Paul Arriola</t>
  </si>
  <si>
    <t>Josh Sargent</t>
  </si>
  <si>
    <t>Ricardo Pepi</t>
  </si>
  <si>
    <t>Jesús Ferreira</t>
  </si>
  <si>
    <t>Ferran Torres</t>
  </si>
  <si>
    <t>Yéremy Pino</t>
  </si>
  <si>
    <t>Marco Asensio</t>
  </si>
  <si>
    <t>Nico Williams</t>
  </si>
  <si>
    <t>Pablo Sarabia</t>
  </si>
  <si>
    <t>Álvaro Morata</t>
  </si>
  <si>
    <t>Borja Iglesias</t>
  </si>
  <si>
    <t>Ousmane Dembélé</t>
  </si>
  <si>
    <t>Christopher Nkunku</t>
  </si>
  <si>
    <t>Antoine Griezmann</t>
  </si>
  <si>
    <t>Kylian Mbappé</t>
  </si>
  <si>
    <t>Randal Kolo Muani</t>
  </si>
  <si>
    <t>Olivier Giroud</t>
  </si>
  <si>
    <t>Gareth Bale</t>
  </si>
  <si>
    <t>Brennan Johnson</t>
  </si>
  <si>
    <t>Tyler Roberts</t>
  </si>
  <si>
    <t>Kieffer Moore</t>
  </si>
  <si>
    <t>Mark Harris</t>
  </si>
  <si>
    <t>Iñaki Williams</t>
  </si>
  <si>
    <t>Jordan Ayew</t>
  </si>
  <si>
    <t>Felix Afena-Gyan</t>
  </si>
  <si>
    <t>Antoine Semenyo</t>
  </si>
  <si>
    <t>Mason Mount</t>
  </si>
  <si>
    <t>Raheem Sterling</t>
  </si>
  <si>
    <t>Jack Grealish</t>
  </si>
  <si>
    <t>Jarrod Bowen</t>
  </si>
  <si>
    <t>Harry Kane</t>
  </si>
  <si>
    <t>Tammy Abraham</t>
  </si>
  <si>
    <t>Ivan Toney</t>
  </si>
  <si>
    <t>Vahid Amiri</t>
  </si>
  <si>
    <t>Alireza Jahanbakhsh</t>
  </si>
  <si>
    <t>Ali Gholizadeh</t>
  </si>
  <si>
    <t>Mehdi Taremi</t>
  </si>
  <si>
    <t>Sardar Azmoun</t>
  </si>
  <si>
    <t>Karim Ansarifard</t>
  </si>
  <si>
    <t>Daizen Maeda</t>
  </si>
  <si>
    <t>Yuki Soma</t>
  </si>
  <si>
    <t>Takefusa Kubo</t>
  </si>
  <si>
    <t>Junya Ito</t>
  </si>
  <si>
    <t>Ritsu Doan</t>
  </si>
  <si>
    <t>Takuma Asano</t>
  </si>
  <si>
    <t>Ayase Ueda</t>
  </si>
  <si>
    <t>Ez Abde</t>
  </si>
  <si>
    <t>Sofiane Boufal</t>
  </si>
  <si>
    <t>Zakaria Aboukhlal</t>
  </si>
  <si>
    <t>Youssef En-Nesyri</t>
  </si>
  <si>
    <t>Munir El Haddadi</t>
  </si>
  <si>
    <t>Walid Cheddira</t>
  </si>
  <si>
    <t>Ryan Mmaee</t>
  </si>
  <si>
    <t>Roberto Alvarado</t>
  </si>
  <si>
    <t>Uriel Antuna</t>
  </si>
  <si>
    <t>Diego Lainez</t>
  </si>
  <si>
    <t>Raúl Jiménez</t>
  </si>
  <si>
    <t>Henry Martín</t>
  </si>
  <si>
    <t>Santiago Giménez</t>
  </si>
  <si>
    <t>Rogelio Funes Mori</t>
  </si>
  <si>
    <t>Davy Klaassen</t>
  </si>
  <si>
    <t>Cody Gakpo</t>
  </si>
  <si>
    <t>Steven Bergwijn</t>
  </si>
  <si>
    <t>Brian Brobbey</t>
  </si>
  <si>
    <t>Wout Weghorst</t>
  </si>
  <si>
    <t>Vincent Janssen</t>
  </si>
  <si>
    <t>Kamil Grosicki</t>
  </si>
  <si>
    <t>Michal Skoras</t>
  </si>
  <si>
    <t>Robert Lewandowski</t>
  </si>
  <si>
    <t>Krzysztof Piatek</t>
  </si>
  <si>
    <t>Arkadiusz Milik</t>
  </si>
  <si>
    <t>Karol Swiderski</t>
  </si>
  <si>
    <t>Bernardo Silva</t>
  </si>
  <si>
    <t>Bruno Fernandes</t>
  </si>
  <si>
    <t>Rafael Leão</t>
  </si>
  <si>
    <t>Diogo Jota</t>
  </si>
  <si>
    <t>Ricardo Horta</t>
  </si>
  <si>
    <t>João Félix</t>
  </si>
  <si>
    <t>Cristiano Ronaldo</t>
  </si>
  <si>
    <t>Ismaeel Mohammed</t>
  </si>
  <si>
    <t>Naif Al-Hadhrami</t>
  </si>
  <si>
    <t>Almoez Ali</t>
  </si>
  <si>
    <t>Ahmed Alaaeldin</t>
  </si>
  <si>
    <t>Mohammed Muntari</t>
  </si>
  <si>
    <t>Krépin Diatta</t>
  </si>
  <si>
    <t>Nicolas Jackson</t>
  </si>
  <si>
    <t>Demba Seck</t>
  </si>
  <si>
    <t>Boulaye Dia</t>
  </si>
  <si>
    <t>Bamba Dieng</t>
  </si>
  <si>
    <t>Dusan Tadić</t>
  </si>
  <si>
    <t>Nemanja Radonjić</t>
  </si>
  <si>
    <t>Stefan Mitrovic</t>
  </si>
  <si>
    <t>Andrija Zivkovic</t>
  </si>
  <si>
    <t>Dušan Vlahović</t>
  </si>
  <si>
    <t>Aleksandar Mitrović</t>
  </si>
  <si>
    <t>Luka Jović</t>
  </si>
  <si>
    <t>Xherdan Shaqiri</t>
  </si>
  <si>
    <t>Dan Ndoye</t>
  </si>
  <si>
    <t>Renato Steffen</t>
  </si>
  <si>
    <t>Breel Embolo</t>
  </si>
  <si>
    <t>Haris Seferovic</t>
  </si>
  <si>
    <t>Cedric Itten</t>
  </si>
  <si>
    <t>Zeki Amdouni</t>
  </si>
  <si>
    <t>Sayfallah Ltaief</t>
  </si>
  <si>
    <t>Issam Jebali</t>
  </si>
  <si>
    <t>Wahbi Khazri</t>
  </si>
  <si>
    <t>Seifeddine Jaziri</t>
  </si>
  <si>
    <t>Taha Yassine Khenissi</t>
  </si>
  <si>
    <t>Facundo Pellistri</t>
  </si>
  <si>
    <t>Brian Ocampo</t>
  </si>
  <si>
    <t>Darwin Núñez</t>
  </si>
  <si>
    <t>Luis Suárez</t>
  </si>
  <si>
    <t>Martín Satriano</t>
  </si>
  <si>
    <t>Ansu Fati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</si>
</sst>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9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3" xfId="0" applyFill="1" applyBorder="1"/>
    <xf numFmtId="0" fontId="0" fillId="7" borderId="3" xfId="0" applyFill="1" applyBorder="1"/>
    <xf numFmtId="0" fontId="0" fillId="0" borderId="3" xfId="0" applyBorder="1" applyAlignment="1" applyProtection="1">
      <alignment horizontal="center"/>
      <protection locked="0"/>
    </xf>
    <xf numFmtId="0" fontId="0" fillId="3" borderId="3" xfId="0" applyFill="1" applyBorder="1"/>
    <xf numFmtId="0" fontId="0" fillId="0" borderId="3" xfId="0" applyFill="1" applyBorder="1"/>
    <xf numFmtId="0" fontId="0" fillId="8" borderId="3" xfId="0" applyFill="1" applyBorder="1"/>
    <xf numFmtId="0" fontId="0" fillId="0" borderId="4" xfId="0" applyBorder="1"/>
    <xf numFmtId="0" fontId="0" fillId="0" borderId="7" xfId="0" applyBorder="1"/>
    <xf numFmtId="0" fontId="0" fillId="12" borderId="3" xfId="0" applyFill="1" applyBorder="1"/>
    <xf numFmtId="0" fontId="0" fillId="3" borderId="4" xfId="0" applyFill="1" applyBorder="1"/>
    <xf numFmtId="0" fontId="0" fillId="0" borderId="6" xfId="0" applyBorder="1"/>
    <xf numFmtId="0" fontId="0" fillId="3" borderId="6" xfId="0" applyFill="1" applyBorder="1"/>
    <xf numFmtId="1" fontId="0" fillId="0" borderId="1" xfId="0" applyNumberFormat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0" fontId="0" fillId="0" borderId="5" xfId="0" applyBorder="1"/>
    <xf numFmtId="0" fontId="0" fillId="3" borderId="5" xfId="0" applyFill="1" applyBorder="1"/>
    <xf numFmtId="0" fontId="0" fillId="0" borderId="9" xfId="0" applyBorder="1"/>
    <xf numFmtId="0" fontId="0" fillId="13" borderId="22" xfId="0" applyFill="1" applyBorder="1" applyAlignment="1">
      <alignment horizontal="center" vertical="center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1" fontId="0" fillId="0" borderId="0" xfId="0" applyNumberFormat="1"/>
    <xf numFmtId="0" fontId="0" fillId="7" borderId="0" xfId="0" applyFill="1"/>
    <xf numFmtId="0" fontId="0" fillId="5" borderId="0" xfId="0" applyFill="1"/>
    <xf numFmtId="0" fontId="0" fillId="3" borderId="0" xfId="0" applyFill="1"/>
    <xf numFmtId="1" fontId="0" fillId="3" borderId="0" xfId="0" applyNumberFormat="1" applyFill="1"/>
    <xf numFmtId="0" fontId="0" fillId="14" borderId="0" xfId="0" applyFill="1"/>
    <xf numFmtId="0" fontId="0" fillId="14" borderId="0" xfId="0" applyFill="1" applyAlignment="1">
      <alignment textRotation="74"/>
    </xf>
    <xf numFmtId="0" fontId="0" fillId="14" borderId="0" xfId="0" applyFill="1" applyBorder="1"/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C80"/>
      <color rgb="FFFF5050"/>
      <color rgb="FFF3E4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" Type="http://schemas.openxmlformats.org/officeDocument/2006/relationships/image" Target="../media/image5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8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15</xdr:row>
          <xdr:rowOff>137160</xdr:rowOff>
        </xdr:from>
        <xdr:to>
          <xdr:col>48</xdr:col>
          <xdr:colOff>0</xdr:colOff>
          <xdr:row>17</xdr:row>
          <xdr:rowOff>99060</xdr:rowOff>
        </xdr:to>
        <xdr:sp macro="" textlink="">
          <xdr:nvSpPr>
            <xdr:cNvPr id="1053" name="CommandButton15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46</xdr:col>
      <xdr:colOff>612194</xdr:colOff>
      <xdr:row>39</xdr:row>
      <xdr:rowOff>69136</xdr:rowOff>
    </xdr:from>
    <xdr:to>
      <xdr:col>46</xdr:col>
      <xdr:colOff>988713</xdr:colOff>
      <xdr:row>41</xdr:row>
      <xdr:rowOff>159397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423" y="7362565"/>
          <a:ext cx="376519" cy="460375"/>
        </a:xfrm>
        <a:prstGeom prst="rect">
          <a:avLst/>
        </a:prstGeom>
      </xdr:spPr>
    </xdr:pic>
    <xdr:clientData/>
  </xdr:twoCellAnchor>
  <xdr:twoCellAnchor>
    <xdr:from>
      <xdr:col>46</xdr:col>
      <xdr:colOff>632153</xdr:colOff>
      <xdr:row>33</xdr:row>
      <xdr:rowOff>53927</xdr:rowOff>
    </xdr:from>
    <xdr:to>
      <xdr:col>46</xdr:col>
      <xdr:colOff>995714</xdr:colOff>
      <xdr:row>35</xdr:row>
      <xdr:rowOff>114764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50382" y="6215241"/>
          <a:ext cx="363561" cy="430952"/>
        </a:xfrm>
        <a:prstGeom prst="rect">
          <a:avLst/>
        </a:prstGeom>
      </xdr:spPr>
    </xdr:pic>
    <xdr:clientData/>
  </xdr:twoCellAnchor>
  <xdr:twoCellAnchor>
    <xdr:from>
      <xdr:col>46</xdr:col>
      <xdr:colOff>627820</xdr:colOff>
      <xdr:row>36</xdr:row>
      <xdr:rowOff>64998</xdr:rowOff>
    </xdr:from>
    <xdr:to>
      <xdr:col>46</xdr:col>
      <xdr:colOff>991230</xdr:colOff>
      <xdr:row>38</xdr:row>
      <xdr:rowOff>116985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6049" y="6792369"/>
          <a:ext cx="363410" cy="422102"/>
        </a:xfrm>
        <a:prstGeom prst="rect">
          <a:avLst/>
        </a:prstGeom>
      </xdr:spPr>
    </xdr:pic>
    <xdr:clientData/>
  </xdr:twoCellAnchor>
  <xdr:twoCellAnchor>
    <xdr:from>
      <xdr:col>46</xdr:col>
      <xdr:colOff>546995</xdr:colOff>
      <xdr:row>42</xdr:row>
      <xdr:rowOff>87107</xdr:rowOff>
    </xdr:from>
    <xdr:to>
      <xdr:col>46</xdr:col>
      <xdr:colOff>1061177</xdr:colOff>
      <xdr:row>44</xdr:row>
      <xdr:rowOff>108857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5224" y="7946593"/>
          <a:ext cx="514182" cy="41363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6</xdr:col>
      <xdr:colOff>304800</xdr:colOff>
      <xdr:row>46</xdr:row>
      <xdr:rowOff>133350</xdr:rowOff>
    </xdr:to>
    <xdr:sp macro="" textlink="">
      <xdr:nvSpPr>
        <xdr:cNvPr id="1055" name="AutoShape 31" descr="data:image/png;base64,iVBORw0KGgoAAAANSUhEUgAAADAAAAAwCAYAAABXAvmHAAAAIGNIUk0AAHomAACAhAAA+gAAAIDoAAB1MAAA6mAAADqYAAAXcJy6UTwAAAAEZ0FNQQAAsY58+1GTAAAAAXNSR0IArs4c6QAAAAZiS0dEAP8A/wD/oL2nkwAAAAlwSFlzAAAOxAAADsQBlSsOGwAABTlJREFUeNrtWVtMm2UYfv8eoXSWMZljMRAqG3PLNIua3QyNN+JcphdTdzO98cIrp+iFFxoTM42J0SkXHuLZC2di1Hi4MMEYTYQBK5Qz4WQLtAVKaYFCz4ff93vbQUv7H0r7wy54w9sf/jb8z/Mevvf5vgLs2Z4VZVy+m9PT0+fw8hLP8/fhdf8uY/ShWxDLVbPZ3CZJwGazvcVx3Gu3YrSRxBtI4oogAQT/OIL/FXhIVppM8QqDQaUt02vE/mnQ44O53mFwdPSB88YARFbX0g/beOrGlc96A/Lf59kPvZDpbjMG6x5rgrsuNuuB49RIojkzE1ngEPzL7MrAV1bt18mJiqG6ChoefZCcTyZhcXgSHNet6H3gHhyHZCx+M3pZhHjIJpjzfvrP6HrQMPLFT5CMJ4JHLp0zpDHmJ4D2AHsxGo3qbTWUSgUHTxxJRZWnh4N33F6S8rH/9jePBDYwChEw0E2dtiACfucCODr7KOqu7kGIrK1nhLg0FvauVKR/rRIjULC5hyZg5Ic/wIkEAovezVIoTddKfqRoAnecPEpO693UbDoTVpjrGYZ4MCwOSABgzm0RIppSprmqoZb8xFNnKSOWj6+BZ3QqJyu5+HjZEVeGAD54acJOPeBEn7OOQiIS3RagHSfgHhqHrqvfgKtnKDu8OwC+RD3QCE98/Q6sz3soA5SFrn4Ir/hlrf+7TuCmGWuq4e4Lj5CzgcaaueuDb6kHJORB3gEGOfd5ZQkk43FwD4xvTGE2kZOJhOLlVHwPoFywfvkjuLBsooGQKFhB+bCrPXBPIzz85mVwdveToGMZYP0gWPsiC79Q+SjeA2WV+6ChuYmc2bLdiWSsMPbLn+AZmRIAKz/6/E4NslgoDHOWIQLP3PffrPTKIxT9nSoh7+Q0zPxjodKZZwMsFssCwRcY0UIzpSqWgOnOGrj9WD0caKwHU91hYclQbPR5hTKgKddDbdP95MwCbi9lY5aVEc6CkG81OyNyGrSAPlFBiU2t04JarwNNmY5+lwJfTPRLkgG2ZZzvG03JCIz64ugkTuJ8QHlh2Zz5XoGrlKoUTcy0D5PPi0w6S4HfWveSfQLKSonq4w3kpy8/SycSjq5+ygTrgTWXWxp83szwkqWjyBzQm1IDjSnUg+hD137fFHNS4EVKR/FBFkMN5LoxmFp5OnrBZ3OIL5dywPPyZkbRBBYGxsDy0XfUB4loLG/JyAEvXfcK9cChe4/B+c+uQDwcAReTEWwGtFvBO2EvCLx43e+AFtKU6aEOhxlzeBVoWe1493NYzBRzUuALlRulJBDyrRDo2fZe6oX1hSVZxynSda/wjoz1QOf7X4Gre4AeInmmsw3wimaA9QDb1LOdGUUfnW0t2RZTFnAZ4BVfRlVqNdScOk5++oVnILIWAAcSsXz6fWpDIxF1WeB5hXuAmd8xTxmYQXd29m98V1A0eKXnwNjPbQR6dWYub90LlYxs8Eqq0UO4qdfinsBUe5iizyYymwlSwAsFz8scZCH08lgkmtDqdfK+I+A4OHC0nvzUc0/SmSg7mZ5p7wH7X510Yi0edXmR15n2BfDCviNYFpTTHMf1Ui37V+PbSgc+fBl1EJPVrHn9joUUCNGSkdfgtWfPZGEUysCH6Gf8a+vaZDIZMVYYtRq9TnTPEFxaJh00828vCbmAxyejXLYizCiRLR9Tl5eFzecfSpx8/ml9BsbNoG8FZLPZ3kOWr8AtaBiEt81m8+tZBLd+qLW1ta2lpWUYSbAjhmp07S7jDqJfR/AvIvhPYM/2rLT2P4Bis5xq/F6OAAAAAElFTkSuQmCC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>
          <a:spLocks noChangeAspect="1" noChangeArrowheads="1"/>
        </xdr:cNvSpPr>
      </xdr:nvSpPr>
      <xdr:spPr bwMode="auto">
        <a:xfrm>
          <a:off x="3556000" y="854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1001485</xdr:colOff>
      <xdr:row>5</xdr:row>
      <xdr:rowOff>0</xdr:rowOff>
    </xdr:from>
    <xdr:to>
      <xdr:col>4</xdr:col>
      <xdr:colOff>1164045</xdr:colOff>
      <xdr:row>5</xdr:row>
      <xdr:rowOff>168910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4" y="957943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1001485</xdr:colOff>
      <xdr:row>5</xdr:row>
      <xdr:rowOff>174171</xdr:rowOff>
    </xdr:from>
    <xdr:to>
      <xdr:col>5</xdr:col>
      <xdr:colOff>18142</xdr:colOff>
      <xdr:row>6</xdr:row>
      <xdr:rowOff>174171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4" y="1132114"/>
          <a:ext cx="198120" cy="185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1001486</xdr:colOff>
      <xdr:row>7</xdr:row>
      <xdr:rowOff>10886</xdr:rowOff>
    </xdr:from>
    <xdr:to>
      <xdr:col>4</xdr:col>
      <xdr:colOff>1160236</xdr:colOff>
      <xdr:row>8</xdr:row>
      <xdr:rowOff>1090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5" y="1338943"/>
          <a:ext cx="18288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1001486</xdr:colOff>
      <xdr:row>8</xdr:row>
      <xdr:rowOff>10886</xdr:rowOff>
    </xdr:from>
    <xdr:to>
      <xdr:col>4</xdr:col>
      <xdr:colOff>1164046</xdr:colOff>
      <xdr:row>8</xdr:row>
      <xdr:rowOff>172176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5" y="1524000"/>
          <a:ext cx="17526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1016181</xdr:colOff>
      <xdr:row>14</xdr:row>
      <xdr:rowOff>25582</xdr:rowOff>
    </xdr:from>
    <xdr:to>
      <xdr:col>5</xdr:col>
      <xdr:colOff>1994</xdr:colOff>
      <xdr:row>14</xdr:row>
      <xdr:rowOff>171632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0410" y="2649039"/>
          <a:ext cx="17018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990599</xdr:colOff>
      <xdr:row>15</xdr:row>
      <xdr:rowOff>10886</xdr:rowOff>
    </xdr:from>
    <xdr:to>
      <xdr:col>5</xdr:col>
      <xdr:colOff>542</xdr:colOff>
      <xdr:row>16</xdr:row>
      <xdr:rowOff>18506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4828" y="2830286"/>
          <a:ext cx="190500" cy="1926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990600</xdr:colOff>
      <xdr:row>16</xdr:row>
      <xdr:rowOff>43543</xdr:rowOff>
    </xdr:from>
    <xdr:to>
      <xdr:col>4</xdr:col>
      <xdr:colOff>1160780</xdr:colOff>
      <xdr:row>17</xdr:row>
      <xdr:rowOff>21047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4829" y="3048000"/>
          <a:ext cx="18288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1001485</xdr:colOff>
      <xdr:row>17</xdr:row>
      <xdr:rowOff>32657</xdr:rowOff>
    </xdr:from>
    <xdr:to>
      <xdr:col>4</xdr:col>
      <xdr:colOff>1164045</xdr:colOff>
      <xdr:row>18</xdr:row>
      <xdr:rowOff>16510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4" y="3222171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1034143</xdr:colOff>
      <xdr:row>5</xdr:row>
      <xdr:rowOff>21771</xdr:rowOff>
    </xdr:from>
    <xdr:to>
      <xdr:col>25</xdr:col>
      <xdr:colOff>1089</xdr:colOff>
      <xdr:row>6</xdr:row>
      <xdr:rowOff>22134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2714" y="979714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1034143</xdr:colOff>
      <xdr:row>6</xdr:row>
      <xdr:rowOff>32657</xdr:rowOff>
    </xdr:from>
    <xdr:to>
      <xdr:col>25</xdr:col>
      <xdr:colOff>624</xdr:colOff>
      <xdr:row>7</xdr:row>
      <xdr:rowOff>20320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2714" y="1175657"/>
          <a:ext cx="16764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1027068</xdr:colOff>
      <xdr:row>7</xdr:row>
      <xdr:rowOff>47353</xdr:rowOff>
    </xdr:from>
    <xdr:to>
      <xdr:col>25</xdr:col>
      <xdr:colOff>1169</xdr:colOff>
      <xdr:row>8</xdr:row>
      <xdr:rowOff>36287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5639" y="1375410"/>
          <a:ext cx="165100" cy="173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1023257</xdr:colOff>
      <xdr:row>8</xdr:row>
      <xdr:rowOff>43543</xdr:rowOff>
    </xdr:from>
    <xdr:to>
      <xdr:col>25</xdr:col>
      <xdr:colOff>1803</xdr:colOff>
      <xdr:row>9</xdr:row>
      <xdr:rowOff>21046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1828" y="1556657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1045029</xdr:colOff>
      <xdr:row>14</xdr:row>
      <xdr:rowOff>32657</xdr:rowOff>
    </xdr:from>
    <xdr:to>
      <xdr:col>25</xdr:col>
      <xdr:colOff>1350</xdr:colOff>
      <xdr:row>14</xdr:row>
      <xdr:rowOff>172357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2656114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1023258</xdr:colOff>
      <xdr:row>15</xdr:row>
      <xdr:rowOff>14696</xdr:rowOff>
    </xdr:from>
    <xdr:to>
      <xdr:col>25</xdr:col>
      <xdr:colOff>1169</xdr:colOff>
      <xdr:row>15</xdr:row>
      <xdr:rowOff>169636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1829" y="2834096"/>
          <a:ext cx="181610" cy="168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1035413</xdr:colOff>
      <xdr:row>16</xdr:row>
      <xdr:rowOff>25582</xdr:rowOff>
    </xdr:from>
    <xdr:to>
      <xdr:col>25</xdr:col>
      <xdr:colOff>20944</xdr:colOff>
      <xdr:row>17</xdr:row>
      <xdr:rowOff>18326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3984" y="3030039"/>
          <a:ext cx="170180" cy="172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1023258</xdr:colOff>
      <xdr:row>17</xdr:row>
      <xdr:rowOff>43543</xdr:rowOff>
    </xdr:from>
    <xdr:to>
      <xdr:col>25</xdr:col>
      <xdr:colOff>1169</xdr:colOff>
      <xdr:row>18</xdr:row>
      <xdr:rowOff>15966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1829" y="3233057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1012371</xdr:colOff>
      <xdr:row>23</xdr:row>
      <xdr:rowOff>10886</xdr:rowOff>
    </xdr:from>
    <xdr:to>
      <xdr:col>5</xdr:col>
      <xdr:colOff>17598</xdr:colOff>
      <xdr:row>24</xdr:row>
      <xdr:rowOff>15966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4310743"/>
          <a:ext cx="190500" cy="185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1023256</xdr:colOff>
      <xdr:row>24</xdr:row>
      <xdr:rowOff>43543</xdr:rowOff>
    </xdr:from>
    <xdr:to>
      <xdr:col>5</xdr:col>
      <xdr:colOff>20863</xdr:colOff>
      <xdr:row>24</xdr:row>
      <xdr:rowOff>169273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7485" y="4528457"/>
          <a:ext cx="167640" cy="137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1012371</xdr:colOff>
      <xdr:row>25</xdr:row>
      <xdr:rowOff>10886</xdr:rowOff>
    </xdr:from>
    <xdr:to>
      <xdr:col>5</xdr:col>
      <xdr:colOff>2358</xdr:colOff>
      <xdr:row>26</xdr:row>
      <xdr:rowOff>1089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4680857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1012371</xdr:colOff>
      <xdr:row>26</xdr:row>
      <xdr:rowOff>21771</xdr:rowOff>
    </xdr:from>
    <xdr:to>
      <xdr:col>5</xdr:col>
      <xdr:colOff>2358</xdr:colOff>
      <xdr:row>27</xdr:row>
      <xdr:rowOff>20864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4876800"/>
          <a:ext cx="17526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1012371</xdr:colOff>
      <xdr:row>32</xdr:row>
      <xdr:rowOff>21772</xdr:rowOff>
    </xdr:from>
    <xdr:to>
      <xdr:col>5</xdr:col>
      <xdr:colOff>2358</xdr:colOff>
      <xdr:row>32</xdr:row>
      <xdr:rowOff>172902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5987143"/>
          <a:ext cx="175260" cy="144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1023256</xdr:colOff>
      <xdr:row>33</xdr:row>
      <xdr:rowOff>10886</xdr:rowOff>
    </xdr:from>
    <xdr:to>
      <xdr:col>5</xdr:col>
      <xdr:colOff>17053</xdr:colOff>
      <xdr:row>33</xdr:row>
      <xdr:rowOff>173446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7485" y="6172200"/>
          <a:ext cx="17526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1012371</xdr:colOff>
      <xdr:row>34</xdr:row>
      <xdr:rowOff>21772</xdr:rowOff>
    </xdr:from>
    <xdr:to>
      <xdr:col>5</xdr:col>
      <xdr:colOff>1994</xdr:colOff>
      <xdr:row>35</xdr:row>
      <xdr:rowOff>20865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6368143"/>
          <a:ext cx="16764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1001485</xdr:colOff>
      <xdr:row>35</xdr:row>
      <xdr:rowOff>43542</xdr:rowOff>
    </xdr:from>
    <xdr:to>
      <xdr:col>4</xdr:col>
      <xdr:colOff>1164045</xdr:colOff>
      <xdr:row>36</xdr:row>
      <xdr:rowOff>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4" y="6574971"/>
          <a:ext cx="1600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1027068</xdr:colOff>
      <xdr:row>23</xdr:row>
      <xdr:rowOff>10886</xdr:rowOff>
    </xdr:from>
    <xdr:to>
      <xdr:col>25</xdr:col>
      <xdr:colOff>2439</xdr:colOff>
      <xdr:row>23</xdr:row>
      <xdr:rowOff>170906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5639" y="4310743"/>
          <a:ext cx="165100" cy="170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1012372</xdr:colOff>
      <xdr:row>24</xdr:row>
      <xdr:rowOff>10886</xdr:rowOff>
    </xdr:from>
    <xdr:to>
      <xdr:col>25</xdr:col>
      <xdr:colOff>20763</xdr:colOff>
      <xdr:row>25</xdr:row>
      <xdr:rowOff>1089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943" y="4495800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1023257</xdr:colOff>
      <xdr:row>25</xdr:row>
      <xdr:rowOff>32658</xdr:rowOff>
    </xdr:from>
    <xdr:to>
      <xdr:col>25</xdr:col>
      <xdr:colOff>363</xdr:colOff>
      <xdr:row>26</xdr:row>
      <xdr:rowOff>19051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1828" y="4702629"/>
          <a:ext cx="167640" cy="160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1012372</xdr:colOff>
      <xdr:row>26</xdr:row>
      <xdr:rowOff>32657</xdr:rowOff>
    </xdr:from>
    <xdr:to>
      <xdr:col>25</xdr:col>
      <xdr:colOff>20763</xdr:colOff>
      <xdr:row>27</xdr:row>
      <xdr:rowOff>17780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943" y="4887686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1045029</xdr:colOff>
      <xdr:row>32</xdr:row>
      <xdr:rowOff>10886</xdr:rowOff>
    </xdr:from>
    <xdr:to>
      <xdr:col>25</xdr:col>
      <xdr:colOff>20865</xdr:colOff>
      <xdr:row>32</xdr:row>
      <xdr:rowOff>168366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5976257"/>
          <a:ext cx="17526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1045029</xdr:colOff>
      <xdr:row>33</xdr:row>
      <xdr:rowOff>0</xdr:rowOff>
    </xdr:from>
    <xdr:to>
      <xdr:col>25</xdr:col>
      <xdr:colOff>20865</xdr:colOff>
      <xdr:row>33</xdr:row>
      <xdr:rowOff>171450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6161314"/>
          <a:ext cx="175260" cy="160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1034144</xdr:colOff>
      <xdr:row>34</xdr:row>
      <xdr:rowOff>10886</xdr:rowOff>
    </xdr:from>
    <xdr:to>
      <xdr:col>25</xdr:col>
      <xdr:colOff>625</xdr:colOff>
      <xdr:row>34</xdr:row>
      <xdr:rowOff>168366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2715" y="6357257"/>
          <a:ext cx="16764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1045029</xdr:colOff>
      <xdr:row>35</xdr:row>
      <xdr:rowOff>10885</xdr:rowOff>
    </xdr:from>
    <xdr:to>
      <xdr:col>25</xdr:col>
      <xdr:colOff>19595</xdr:colOff>
      <xdr:row>35</xdr:row>
      <xdr:rowOff>173445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6542314"/>
          <a:ext cx="16764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91440</xdr:colOff>
          <xdr:row>2</xdr:row>
          <xdr:rowOff>22860</xdr:rowOff>
        </xdr:from>
        <xdr:to>
          <xdr:col>21</xdr:col>
          <xdr:colOff>175260</xdr:colOff>
          <xdr:row>2</xdr:row>
          <xdr:rowOff>182880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83820</xdr:colOff>
          <xdr:row>11</xdr:row>
          <xdr:rowOff>15240</xdr:rowOff>
        </xdr:from>
        <xdr:to>
          <xdr:col>21</xdr:col>
          <xdr:colOff>175260</xdr:colOff>
          <xdr:row>12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937260</xdr:colOff>
          <xdr:row>2</xdr:row>
          <xdr:rowOff>22860</xdr:rowOff>
        </xdr:from>
        <xdr:to>
          <xdr:col>46</xdr:col>
          <xdr:colOff>1661160</xdr:colOff>
          <xdr:row>2</xdr:row>
          <xdr:rowOff>175260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28</xdr:row>
          <xdr:rowOff>175260</xdr:rowOff>
        </xdr:from>
        <xdr:to>
          <xdr:col>21</xdr:col>
          <xdr:colOff>175260</xdr:colOff>
          <xdr:row>29</xdr:row>
          <xdr:rowOff>160020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83820</xdr:colOff>
          <xdr:row>20</xdr:row>
          <xdr:rowOff>0</xdr:rowOff>
        </xdr:from>
        <xdr:to>
          <xdr:col>21</xdr:col>
          <xdr:colOff>175260</xdr:colOff>
          <xdr:row>20</xdr:row>
          <xdr:rowOff>175260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99060</xdr:colOff>
          <xdr:row>28</xdr:row>
          <xdr:rowOff>175260</xdr:rowOff>
        </xdr:from>
        <xdr:to>
          <xdr:col>41</xdr:col>
          <xdr:colOff>190500</xdr:colOff>
          <xdr:row>29</xdr:row>
          <xdr:rowOff>175260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83820</xdr:colOff>
          <xdr:row>19</xdr:row>
          <xdr:rowOff>182880</xdr:rowOff>
        </xdr:from>
        <xdr:to>
          <xdr:col>41</xdr:col>
          <xdr:colOff>175260</xdr:colOff>
          <xdr:row>20</xdr:row>
          <xdr:rowOff>175260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91440</xdr:colOff>
          <xdr:row>11</xdr:row>
          <xdr:rowOff>15240</xdr:rowOff>
        </xdr:from>
        <xdr:to>
          <xdr:col>41</xdr:col>
          <xdr:colOff>175260</xdr:colOff>
          <xdr:row>11</xdr:row>
          <xdr:rowOff>175260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91440</xdr:colOff>
          <xdr:row>2</xdr:row>
          <xdr:rowOff>15240</xdr:rowOff>
        </xdr:from>
        <xdr:to>
          <xdr:col>41</xdr:col>
          <xdr:colOff>175260</xdr:colOff>
          <xdr:row>2</xdr:row>
          <xdr:rowOff>182880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944880</xdr:colOff>
          <xdr:row>29</xdr:row>
          <xdr:rowOff>7620</xdr:rowOff>
        </xdr:from>
        <xdr:to>
          <xdr:col>46</xdr:col>
          <xdr:colOff>1676400</xdr:colOff>
          <xdr:row>29</xdr:row>
          <xdr:rowOff>175260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937260</xdr:colOff>
          <xdr:row>25</xdr:row>
          <xdr:rowOff>15240</xdr:rowOff>
        </xdr:from>
        <xdr:to>
          <xdr:col>46</xdr:col>
          <xdr:colOff>1668780</xdr:colOff>
          <xdr:row>25</xdr:row>
          <xdr:rowOff>175260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937260</xdr:colOff>
          <xdr:row>20</xdr:row>
          <xdr:rowOff>22860</xdr:rowOff>
        </xdr:from>
        <xdr:to>
          <xdr:col>46</xdr:col>
          <xdr:colOff>1661160</xdr:colOff>
          <xdr:row>20</xdr:row>
          <xdr:rowOff>175260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937260</xdr:colOff>
          <xdr:row>13</xdr:row>
          <xdr:rowOff>7620</xdr:rowOff>
        </xdr:from>
        <xdr:to>
          <xdr:col>46</xdr:col>
          <xdr:colOff>1661160</xdr:colOff>
          <xdr:row>13</xdr:row>
          <xdr:rowOff>167640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76200</xdr:colOff>
          <xdr:row>40</xdr:row>
          <xdr:rowOff>182880</xdr:rowOff>
        </xdr:from>
        <xdr:to>
          <xdr:col>36</xdr:col>
          <xdr:colOff>137160</xdr:colOff>
          <xdr:row>42</xdr:row>
          <xdr:rowOff>175260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 Torneo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46"/>
  <sheetViews>
    <sheetView tabSelected="1" zoomScale="85" zoomScaleNormal="85" workbookViewId="0">
      <selection activeCell="H5" sqref="H5"/>
    </sheetView>
  </sheetViews>
  <sheetFormatPr defaultColWidth="9.21875" defaultRowHeight="14.4" x14ac:dyDescent="0.3"/>
  <cols>
    <col min="1" max="1" width="2.109375" style="5" customWidth="1"/>
    <col min="2" max="2" width="2" style="5" customWidth="1"/>
    <col min="3" max="3" width="2.33203125" style="5" customWidth="1"/>
    <col min="4" max="4" width="1.77734375" style="5" bestFit="1" customWidth="1"/>
    <col min="5" max="5" width="16.88671875" style="5" customWidth="1"/>
    <col min="6" max="6" width="1.77734375" style="5" bestFit="1" customWidth="1"/>
    <col min="7" max="7" width="12" style="5" bestFit="1" customWidth="1"/>
    <col min="8" max="8" width="1.77734375" style="5" bestFit="1" customWidth="1"/>
    <col min="9" max="9" width="1.44140625" style="5" bestFit="1" customWidth="1"/>
    <col min="10" max="10" width="1.77734375" style="5" bestFit="1" customWidth="1"/>
    <col min="11" max="11" width="12" style="5" bestFit="1" customWidth="1"/>
    <col min="12" max="12" width="2.5546875" style="5" customWidth="1"/>
    <col min="13" max="13" width="1.77734375" style="5" bestFit="1" customWidth="1"/>
    <col min="14" max="14" width="11" style="5" bestFit="1" customWidth="1"/>
    <col min="15" max="15" width="2.44140625" style="5" bestFit="1" customWidth="1"/>
    <col min="16" max="16" width="3.109375" style="5" bestFit="1" customWidth="1"/>
    <col min="17" max="17" width="2.77734375" style="5" bestFit="1" customWidth="1"/>
    <col min="18" max="18" width="2.77734375" style="5" customWidth="1"/>
    <col min="19" max="19" width="3" style="5" bestFit="1" customWidth="1"/>
    <col min="20" max="20" width="3.21875" style="5" customWidth="1"/>
    <col min="21" max="21" width="3.21875" style="5" bestFit="1" customWidth="1"/>
    <col min="22" max="22" width="2.77734375" style="5" bestFit="1" customWidth="1"/>
    <col min="23" max="23" width="3.44140625" style="5" customWidth="1"/>
    <col min="24" max="24" width="1.77734375" style="5" bestFit="1" customWidth="1"/>
    <col min="25" max="25" width="17.33203125" style="5" customWidth="1"/>
    <col min="26" max="26" width="1.77734375" style="5" bestFit="1" customWidth="1"/>
    <col min="27" max="27" width="12.44140625" style="5" bestFit="1" customWidth="1"/>
    <col min="28" max="28" width="2.109375" style="5" bestFit="1" customWidth="1"/>
    <col min="29" max="29" width="1.44140625" style="5" bestFit="1" customWidth="1"/>
    <col min="30" max="30" width="1.77734375" style="5" bestFit="1" customWidth="1"/>
    <col min="31" max="31" width="12.44140625" style="5" bestFit="1" customWidth="1"/>
    <col min="32" max="32" width="3.6640625" style="5" customWidth="1"/>
    <col min="33" max="33" width="1.77734375" style="5" bestFit="1" customWidth="1"/>
    <col min="34" max="34" width="11.77734375" style="5" bestFit="1" customWidth="1"/>
    <col min="35" max="35" width="2.44140625" style="5" bestFit="1" customWidth="1"/>
    <col min="36" max="36" width="3.109375" style="5" bestFit="1" customWidth="1"/>
    <col min="37" max="38" width="2.77734375" style="5" bestFit="1" customWidth="1"/>
    <col min="39" max="39" width="3" style="5" bestFit="1" customWidth="1"/>
    <col min="40" max="41" width="3.21875" style="5" bestFit="1" customWidth="1"/>
    <col min="42" max="42" width="2.77734375" style="5" bestFit="1" customWidth="1"/>
    <col min="43" max="43" width="2.21875" style="5" bestFit="1" customWidth="1"/>
    <col min="44" max="44" width="11.77734375" style="5" bestFit="1" customWidth="1"/>
    <col min="45" max="45" width="1.44140625" style="5" bestFit="1" customWidth="1"/>
    <col min="46" max="46" width="11.77734375" style="5" bestFit="1" customWidth="1"/>
    <col min="47" max="47" width="24.21875" style="7" customWidth="1"/>
    <col min="48" max="49" width="9.21875" style="5" customWidth="1"/>
    <col min="50" max="16384" width="9.21875" style="5"/>
  </cols>
  <sheetData>
    <row r="1" spans="1:52" s="3" customFormat="1" x14ac:dyDescent="0.3">
      <c r="AU1" s="4"/>
    </row>
    <row r="2" spans="1:52" s="3" customFormat="1" x14ac:dyDescent="0.3">
      <c r="A2" s="5"/>
      <c r="AU2" s="4"/>
      <c r="AW2" s="5"/>
      <c r="AX2" s="5"/>
      <c r="AY2" s="5"/>
      <c r="AZ2" s="5"/>
    </row>
    <row r="3" spans="1:52" s="3" customFormat="1" x14ac:dyDescent="0.3">
      <c r="D3" s="42" t="s">
        <v>60</v>
      </c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4"/>
      <c r="X3" s="42" t="s">
        <v>64</v>
      </c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4"/>
      <c r="AR3" s="42" t="s">
        <v>42</v>
      </c>
      <c r="AS3" s="43"/>
      <c r="AT3" s="43"/>
      <c r="AU3" s="43"/>
      <c r="AW3" s="24"/>
    </row>
    <row r="4" spans="1:52" s="3" customFormat="1" x14ac:dyDescent="0.3">
      <c r="D4" s="45" t="s">
        <v>57</v>
      </c>
      <c r="E4" s="45"/>
      <c r="G4" s="47" t="s">
        <v>59</v>
      </c>
      <c r="H4" s="48"/>
      <c r="I4" s="48"/>
      <c r="J4" s="48"/>
      <c r="K4" s="49"/>
      <c r="M4" s="46" t="s">
        <v>58</v>
      </c>
      <c r="N4" s="46"/>
      <c r="O4" s="46"/>
      <c r="P4" s="46"/>
      <c r="Q4" s="46"/>
      <c r="R4" s="46"/>
      <c r="S4" s="46"/>
      <c r="T4" s="46"/>
      <c r="U4" s="46"/>
      <c r="V4" s="46"/>
      <c r="X4" s="45" t="s">
        <v>57</v>
      </c>
      <c r="Y4" s="45"/>
      <c r="AA4" s="47" t="s">
        <v>59</v>
      </c>
      <c r="AB4" s="48"/>
      <c r="AC4" s="48"/>
      <c r="AD4" s="48"/>
      <c r="AE4" s="49"/>
      <c r="AG4" s="46" t="s">
        <v>58</v>
      </c>
      <c r="AH4" s="46"/>
      <c r="AI4" s="46"/>
      <c r="AJ4" s="46"/>
      <c r="AK4" s="46"/>
      <c r="AL4" s="46"/>
      <c r="AM4" s="46"/>
      <c r="AN4" s="46"/>
      <c r="AO4" s="46"/>
      <c r="AP4" s="46"/>
      <c r="AR4" s="47" t="s">
        <v>59</v>
      </c>
      <c r="AS4" s="48"/>
      <c r="AT4" s="49"/>
      <c r="AU4" s="6" t="s">
        <v>73</v>
      </c>
      <c r="AW4" s="24"/>
    </row>
    <row r="5" spans="1:52" x14ac:dyDescent="0.3">
      <c r="D5" s="8" t="s">
        <v>21</v>
      </c>
      <c r="E5" s="8" t="s">
        <v>4</v>
      </c>
      <c r="G5" s="14" t="str">
        <f>E6</f>
        <v>Qatar</v>
      </c>
      <c r="H5" s="20"/>
      <c r="I5" s="22" t="s">
        <v>38</v>
      </c>
      <c r="J5" s="20"/>
      <c r="K5" s="18" t="str">
        <f>E7</f>
        <v>Ecuador</v>
      </c>
      <c r="M5" s="9" t="s">
        <v>21</v>
      </c>
      <c r="N5" s="9" t="s">
        <v>4</v>
      </c>
      <c r="O5" s="9" t="s">
        <v>43</v>
      </c>
      <c r="P5" s="9" t="s">
        <v>44</v>
      </c>
      <c r="Q5" s="9" t="s">
        <v>45</v>
      </c>
      <c r="R5" s="9" t="s">
        <v>46</v>
      </c>
      <c r="S5" s="9" t="s">
        <v>0</v>
      </c>
      <c r="T5" s="9" t="s">
        <v>1</v>
      </c>
      <c r="U5" s="9" t="s">
        <v>2</v>
      </c>
      <c r="V5" s="9" t="s">
        <v>41</v>
      </c>
      <c r="X5" s="8" t="s">
        <v>21</v>
      </c>
      <c r="Y5" s="8" t="s">
        <v>4</v>
      </c>
      <c r="AA5" s="5" t="str">
        <f>Y6</f>
        <v>España</v>
      </c>
      <c r="AB5" s="20"/>
      <c r="AC5" s="22" t="s">
        <v>38</v>
      </c>
      <c r="AD5" s="20"/>
      <c r="AE5" s="5" t="str">
        <f>Y7</f>
        <v>Costa Rica</v>
      </c>
      <c r="AG5" s="9" t="s">
        <v>21</v>
      </c>
      <c r="AH5" s="9" t="s">
        <v>4</v>
      </c>
      <c r="AI5" s="9" t="s">
        <v>43</v>
      </c>
      <c r="AJ5" s="9" t="s">
        <v>44</v>
      </c>
      <c r="AK5" s="9" t="s">
        <v>45</v>
      </c>
      <c r="AL5" s="9" t="s">
        <v>46</v>
      </c>
      <c r="AM5" s="9" t="s">
        <v>0</v>
      </c>
      <c r="AN5" s="9" t="s">
        <v>1</v>
      </c>
      <c r="AO5" s="9" t="s">
        <v>2</v>
      </c>
      <c r="AP5" s="9" t="s">
        <v>41</v>
      </c>
      <c r="AR5" s="14" t="str">
        <f>N6</f>
        <v>Países Bajos</v>
      </c>
      <c r="AS5" s="22" t="s">
        <v>38</v>
      </c>
      <c r="AT5" s="18" t="str">
        <f>N16</f>
        <v>EEUU</v>
      </c>
      <c r="AU5" s="10"/>
      <c r="AW5" s="18"/>
    </row>
    <row r="6" spans="1:52" x14ac:dyDescent="0.3">
      <c r="D6" s="5">
        <v>1</v>
      </c>
      <c r="E6" s="5" t="s">
        <v>78</v>
      </c>
      <c r="G6" s="14" t="str">
        <f>E8</f>
        <v>Senegal</v>
      </c>
      <c r="H6" s="20"/>
      <c r="I6" s="22" t="s">
        <v>38</v>
      </c>
      <c r="J6" s="20"/>
      <c r="K6" s="18" t="str">
        <f>E9</f>
        <v>Países Bajos</v>
      </c>
      <c r="M6" s="12">
        <v>1</v>
      </c>
      <c r="N6" s="12" t="str">
        <f>VLOOKUP($M6,Auxiliar!$I$5:$V$8,2,FALSE)</f>
        <v>Países Bajos</v>
      </c>
      <c r="O6" s="12">
        <f>VLOOKUP($M6,Auxiliar!$I$5:$V$8,3,FALSE)</f>
        <v>0</v>
      </c>
      <c r="P6" s="12">
        <f>VLOOKUP($M6,Auxiliar!$I$5:$V$8,4,FALSE)</f>
        <v>0</v>
      </c>
      <c r="Q6" s="12">
        <f>VLOOKUP($M6,Auxiliar!$I$5:$V$8,5,FALSE)</f>
        <v>0</v>
      </c>
      <c r="R6" s="12">
        <f>VLOOKUP($M6,Auxiliar!$I$5:$V$8,6,FALSE)</f>
        <v>0</v>
      </c>
      <c r="S6" s="12">
        <f>VLOOKUP($M6,Auxiliar!$I$5:$V$8,7,FALSE)</f>
        <v>0</v>
      </c>
      <c r="T6" s="12">
        <f>VLOOKUP($M6,Auxiliar!$I$5:$V$8,8,FALSE)</f>
        <v>0</v>
      </c>
      <c r="U6" s="12">
        <f>VLOOKUP($M6,Auxiliar!$I$5:$V$8,9,FALSE)</f>
        <v>0</v>
      </c>
      <c r="V6" s="12">
        <f>VLOOKUP($M6,Auxiliar!$I$5:$V$8,10,FALSE)</f>
        <v>0</v>
      </c>
      <c r="X6" s="5">
        <v>1</v>
      </c>
      <c r="Y6" s="5" t="s">
        <v>10</v>
      </c>
      <c r="AA6" s="5" t="str">
        <f>Y8</f>
        <v>Alemania</v>
      </c>
      <c r="AB6" s="20"/>
      <c r="AC6" s="22" t="s">
        <v>38</v>
      </c>
      <c r="AD6" s="20"/>
      <c r="AE6" s="5" t="str">
        <f>Y9</f>
        <v>Japón</v>
      </c>
      <c r="AG6" s="12">
        <v>1</v>
      </c>
      <c r="AH6" s="12" t="str">
        <f>VLOOKUP($M6,Auxiliar!$I$41:$V$44,2,FALSE)</f>
        <v>España</v>
      </c>
      <c r="AI6" s="12">
        <f>VLOOKUP($M6,Auxiliar!$I$41:$V$44,3,FALSE)</f>
        <v>0</v>
      </c>
      <c r="AJ6" s="12">
        <f>VLOOKUP($M6,Auxiliar!$I$41:$V$44,4,FALSE)</f>
        <v>0</v>
      </c>
      <c r="AK6" s="12">
        <f>VLOOKUP($M6,Auxiliar!$I$41:$V$44,5,FALSE)</f>
        <v>0</v>
      </c>
      <c r="AL6" s="12">
        <f>VLOOKUP($M6,Auxiliar!$I$41:$V$44,6,FALSE)</f>
        <v>0</v>
      </c>
      <c r="AM6" s="12">
        <f>VLOOKUP($M6,Auxiliar!$I$41:$V$44,7,FALSE)</f>
        <v>0</v>
      </c>
      <c r="AN6" s="12">
        <f>VLOOKUP($M6,Auxiliar!$I$41:$V$44,8,FALSE)</f>
        <v>0</v>
      </c>
      <c r="AO6" s="12">
        <f>VLOOKUP($M6,Auxiliar!$I$41:$V$44,9,FALSE)</f>
        <v>0</v>
      </c>
      <c r="AP6" s="12">
        <f>VLOOKUP($M6,Auxiliar!$I$41:$V$44,10,FALSE)</f>
        <v>0</v>
      </c>
      <c r="AR6" s="14" t="str">
        <f>N15</f>
        <v>Inglaterra</v>
      </c>
      <c r="AS6" s="22" t="s">
        <v>38</v>
      </c>
      <c r="AT6" s="18" t="str">
        <f>N7</f>
        <v>Senegal</v>
      </c>
      <c r="AU6" s="10"/>
      <c r="AW6" s="18"/>
    </row>
    <row r="7" spans="1:52" x14ac:dyDescent="0.3">
      <c r="D7" s="5">
        <v>2</v>
      </c>
      <c r="E7" s="5" t="s">
        <v>79</v>
      </c>
      <c r="G7" s="17" t="str">
        <f>E6</f>
        <v>Qatar</v>
      </c>
      <c r="H7" s="21"/>
      <c r="I7" s="23" t="s">
        <v>38</v>
      </c>
      <c r="J7" s="21"/>
      <c r="K7" s="19" t="str">
        <f>E8</f>
        <v>Senegal</v>
      </c>
      <c r="M7" s="12">
        <v>2</v>
      </c>
      <c r="N7" s="12" t="str">
        <f>VLOOKUP($M7,Auxiliar!$I$5:$V$8,2,FALSE)</f>
        <v>Senegal</v>
      </c>
      <c r="O7" s="12">
        <f>VLOOKUP($M7,Auxiliar!$I$5:$V$8,3,FALSE)</f>
        <v>0</v>
      </c>
      <c r="P7" s="12">
        <f>VLOOKUP($M7,Auxiliar!$I$5:$V$8,4,FALSE)</f>
        <v>0</v>
      </c>
      <c r="Q7" s="12">
        <f>VLOOKUP($M7,Auxiliar!$I$5:$V$8,5,FALSE)</f>
        <v>0</v>
      </c>
      <c r="R7" s="12">
        <f>VLOOKUP($M7,Auxiliar!$I$5:$V$8,6,FALSE)</f>
        <v>0</v>
      </c>
      <c r="S7" s="12">
        <f>VLOOKUP($M7,Auxiliar!$I$5:$V$8,7,FALSE)</f>
        <v>0</v>
      </c>
      <c r="T7" s="12">
        <f>VLOOKUP($M7,Auxiliar!$I$5:$V$8,8,FALSE)</f>
        <v>0</v>
      </c>
      <c r="U7" s="12">
        <f>VLOOKUP($M7,Auxiliar!$I$5:$V$8,9,FALSE)</f>
        <v>0</v>
      </c>
      <c r="V7" s="12">
        <f>VLOOKUP($M7,Auxiliar!$I$5:$V$8,10,FALSE)</f>
        <v>0</v>
      </c>
      <c r="X7" s="5">
        <v>2</v>
      </c>
      <c r="Y7" s="5" t="s">
        <v>26</v>
      </c>
      <c r="AA7" s="11" t="str">
        <f>Y6</f>
        <v>España</v>
      </c>
      <c r="AB7" s="21"/>
      <c r="AC7" s="23" t="s">
        <v>38</v>
      </c>
      <c r="AD7" s="21"/>
      <c r="AE7" s="11" t="str">
        <f>Y8</f>
        <v>Alemania</v>
      </c>
      <c r="AG7" s="12">
        <v>2</v>
      </c>
      <c r="AH7" s="12" t="str">
        <f>VLOOKUP($M7,Auxiliar!$I$41:$V$44,2,FALSE)</f>
        <v>Alemania</v>
      </c>
      <c r="AI7" s="12">
        <f>VLOOKUP($M7,Auxiliar!$I$41:$V$44,3,FALSE)</f>
        <v>0</v>
      </c>
      <c r="AJ7" s="12">
        <f>VLOOKUP($M7,Auxiliar!$I$41:$V$44,4,FALSE)</f>
        <v>0</v>
      </c>
      <c r="AK7" s="12">
        <f>VLOOKUP($M7,Auxiliar!$I$41:$V$44,5,FALSE)</f>
        <v>0</v>
      </c>
      <c r="AL7" s="12">
        <f>VLOOKUP($M7,Auxiliar!$I$41:$V$44,6,FALSE)</f>
        <v>0</v>
      </c>
      <c r="AM7" s="12">
        <f>VLOOKUP($M7,Auxiliar!$I$41:$V$44,7,FALSE)</f>
        <v>0</v>
      </c>
      <c r="AN7" s="12">
        <f>VLOOKUP($M7,Auxiliar!$I$41:$V$44,8,FALSE)</f>
        <v>0</v>
      </c>
      <c r="AO7" s="12">
        <f>VLOOKUP($M7,Auxiliar!$I$41:$V$44,9,FALSE)</f>
        <v>0</v>
      </c>
      <c r="AP7" s="12">
        <f>VLOOKUP($M7,Auxiliar!$I$41:$V$44,10,FALSE)</f>
        <v>0</v>
      </c>
      <c r="AR7" s="14" t="str">
        <f>N24</f>
        <v>Argentina</v>
      </c>
      <c r="AS7" s="22" t="s">
        <v>38</v>
      </c>
      <c r="AT7" s="18" t="str">
        <f>N34</f>
        <v>Dinamarca</v>
      </c>
      <c r="AU7" s="10"/>
      <c r="AW7" s="18"/>
    </row>
    <row r="8" spans="1:52" x14ac:dyDescent="0.3">
      <c r="D8" s="12">
        <v>3</v>
      </c>
      <c r="E8" s="12" t="s">
        <v>37</v>
      </c>
      <c r="G8" s="17" t="str">
        <f>E9</f>
        <v>Países Bajos</v>
      </c>
      <c r="H8" s="21"/>
      <c r="I8" s="23" t="s">
        <v>38</v>
      </c>
      <c r="J8" s="21"/>
      <c r="K8" s="19" t="str">
        <f>E7</f>
        <v>Ecuador</v>
      </c>
      <c r="M8" s="13">
        <v>3</v>
      </c>
      <c r="N8" s="13" t="str">
        <f>VLOOKUP($M8,Auxiliar!$I$5:$V$8,2,FALSE)</f>
        <v>Ecuador</v>
      </c>
      <c r="O8" s="13">
        <f>VLOOKUP($M8,Auxiliar!$I$5:$V$8,3,FALSE)</f>
        <v>0</v>
      </c>
      <c r="P8" s="13">
        <f>VLOOKUP($M8,Auxiliar!$I$5:$V$8,4,FALSE)</f>
        <v>0</v>
      </c>
      <c r="Q8" s="13">
        <f>VLOOKUP($M8,Auxiliar!$I$5:$V$8,5,FALSE)</f>
        <v>0</v>
      </c>
      <c r="R8" s="13">
        <f>VLOOKUP($M8,Auxiliar!$I$5:$V$8,6,FALSE)</f>
        <v>0</v>
      </c>
      <c r="S8" s="13">
        <f>VLOOKUP($M8,Auxiliar!$I$5:$V$8,7,FALSE)</f>
        <v>0</v>
      </c>
      <c r="T8" s="13">
        <f>VLOOKUP($M8,Auxiliar!$I$5:$V$8,8,FALSE)</f>
        <v>0</v>
      </c>
      <c r="U8" s="13">
        <f>VLOOKUP($M8,Auxiliar!$I$5:$V$8,9,FALSE)</f>
        <v>0</v>
      </c>
      <c r="V8" s="13">
        <f>VLOOKUP($M8,Auxiliar!$I$5:$V$8,10,FALSE)</f>
        <v>0</v>
      </c>
      <c r="X8" s="12">
        <v>3</v>
      </c>
      <c r="Y8" s="12" t="s">
        <v>29</v>
      </c>
      <c r="AA8" s="11" t="str">
        <f>Y9</f>
        <v>Japón</v>
      </c>
      <c r="AB8" s="21"/>
      <c r="AC8" s="23" t="s">
        <v>38</v>
      </c>
      <c r="AD8" s="21"/>
      <c r="AE8" s="11" t="str">
        <f>Y7</f>
        <v>Costa Rica</v>
      </c>
      <c r="AG8" s="13">
        <v>3</v>
      </c>
      <c r="AH8" s="13" t="str">
        <f>VLOOKUP($M8,Auxiliar!$I$41:$V$44,2,FALSE)</f>
        <v>Japón</v>
      </c>
      <c r="AI8" s="13">
        <f>VLOOKUP($M8,Auxiliar!$I$41:$V$44,3,FALSE)</f>
        <v>0</v>
      </c>
      <c r="AJ8" s="13">
        <f>VLOOKUP($M8,Auxiliar!$I$41:$V$44,4,FALSE)</f>
        <v>0</v>
      </c>
      <c r="AK8" s="13">
        <f>VLOOKUP($M8,Auxiliar!$I$41:$V$44,5,FALSE)</f>
        <v>0</v>
      </c>
      <c r="AL8" s="13">
        <f>VLOOKUP($M8,Auxiliar!$I$41:$V$44,6,FALSE)</f>
        <v>0</v>
      </c>
      <c r="AM8" s="13">
        <f>VLOOKUP($M8,Auxiliar!$I$41:$V$44,7,FALSE)</f>
        <v>0</v>
      </c>
      <c r="AN8" s="13">
        <f>VLOOKUP($M8,Auxiliar!$I$41:$V$44,8,FALSE)</f>
        <v>0</v>
      </c>
      <c r="AO8" s="13">
        <f>VLOOKUP($M8,Auxiliar!$I$41:$V$44,9,FALSE)</f>
        <v>0</v>
      </c>
      <c r="AP8" s="13">
        <f>VLOOKUP($M8,Auxiliar!$I$41:$V$44,10,FALSE)</f>
        <v>0</v>
      </c>
      <c r="AR8" s="14" t="str">
        <f>N33</f>
        <v>Francia</v>
      </c>
      <c r="AS8" s="22" t="s">
        <v>38</v>
      </c>
      <c r="AT8" s="18" t="str">
        <f>N25</f>
        <v>México</v>
      </c>
      <c r="AU8" s="10"/>
      <c r="AW8" s="18"/>
    </row>
    <row r="9" spans="1:52" x14ac:dyDescent="0.3">
      <c r="D9" s="12">
        <v>4</v>
      </c>
      <c r="E9" s="12" t="s">
        <v>80</v>
      </c>
      <c r="G9" s="14" t="str">
        <f>E9</f>
        <v>Países Bajos</v>
      </c>
      <c r="H9" s="20"/>
      <c r="I9" s="22" t="s">
        <v>38</v>
      </c>
      <c r="J9" s="20"/>
      <c r="K9" s="18" t="str">
        <f>E6</f>
        <v>Qatar</v>
      </c>
      <c r="M9" s="13">
        <v>4</v>
      </c>
      <c r="N9" s="13" t="str">
        <f>VLOOKUP($M9,Auxiliar!$I$5:$V$8,2,FALSE)</f>
        <v>Qatar</v>
      </c>
      <c r="O9" s="13">
        <f>VLOOKUP($M9,Auxiliar!$I$5:$V$8,3,FALSE)</f>
        <v>0</v>
      </c>
      <c r="P9" s="13">
        <f>VLOOKUP($M9,Auxiliar!$I$5:$V$8,4,FALSE)</f>
        <v>0</v>
      </c>
      <c r="Q9" s="13">
        <f>VLOOKUP($M9,Auxiliar!$I$5:$V$8,5,FALSE)</f>
        <v>0</v>
      </c>
      <c r="R9" s="13">
        <f>VLOOKUP($M9,Auxiliar!$I$5:$V$8,6,FALSE)</f>
        <v>0</v>
      </c>
      <c r="S9" s="13">
        <f>VLOOKUP($M9,Auxiliar!$I$5:$V$8,7,FALSE)</f>
        <v>0</v>
      </c>
      <c r="T9" s="13">
        <f>VLOOKUP($M9,Auxiliar!$I$5:$V$8,8,FALSE)</f>
        <v>0</v>
      </c>
      <c r="U9" s="13">
        <f>VLOOKUP($M9,Auxiliar!$I$5:$V$8,9,FALSE)</f>
        <v>0</v>
      </c>
      <c r="V9" s="13">
        <f>VLOOKUP($M9,Auxiliar!$I$5:$V$8,10,FALSE)</f>
        <v>0</v>
      </c>
      <c r="X9" s="12">
        <v>4</v>
      </c>
      <c r="Y9" s="12" t="s">
        <v>35</v>
      </c>
      <c r="AA9" s="5" t="str">
        <f>Y9</f>
        <v>Japón</v>
      </c>
      <c r="AB9" s="20"/>
      <c r="AC9" s="22" t="s">
        <v>38</v>
      </c>
      <c r="AD9" s="20"/>
      <c r="AE9" s="5" t="str">
        <f>Y6</f>
        <v>España</v>
      </c>
      <c r="AG9" s="13">
        <v>4</v>
      </c>
      <c r="AH9" s="13" t="str">
        <f>VLOOKUP($M9,Auxiliar!$I$41:$V$44,2,FALSE)</f>
        <v>Costa Rica</v>
      </c>
      <c r="AI9" s="13">
        <f>VLOOKUP($M9,Auxiliar!$I$41:$V$44,3,FALSE)</f>
        <v>0</v>
      </c>
      <c r="AJ9" s="13">
        <f>VLOOKUP($M9,Auxiliar!$I$41:$V$44,4,FALSE)</f>
        <v>0</v>
      </c>
      <c r="AK9" s="13">
        <f>VLOOKUP($M9,Auxiliar!$I$41:$V$44,5,FALSE)</f>
        <v>0</v>
      </c>
      <c r="AL9" s="13">
        <f>VLOOKUP($M9,Auxiliar!$I$41:$V$44,6,FALSE)</f>
        <v>0</v>
      </c>
      <c r="AM9" s="13">
        <f>VLOOKUP($M9,Auxiliar!$I$41:$V$44,7,FALSE)</f>
        <v>0</v>
      </c>
      <c r="AN9" s="13">
        <f>VLOOKUP($M9,Auxiliar!$I$41:$V$44,8,FALSE)</f>
        <v>0</v>
      </c>
      <c r="AO9" s="13">
        <f>VLOOKUP($M9,Auxiliar!$I$41:$V$44,9,FALSE)</f>
        <v>0</v>
      </c>
      <c r="AP9" s="13">
        <f>VLOOKUP($M9,Auxiliar!$I$41:$V$44,10,FALSE)</f>
        <v>0</v>
      </c>
      <c r="AR9" s="14" t="str">
        <f>AH6</f>
        <v>España</v>
      </c>
      <c r="AS9" s="22" t="s">
        <v>38</v>
      </c>
      <c r="AT9" s="18" t="str">
        <f>AH16</f>
        <v>Croacia</v>
      </c>
      <c r="AU9" s="10"/>
      <c r="AW9" s="18"/>
    </row>
    <row r="10" spans="1:52" x14ac:dyDescent="0.3">
      <c r="G10" s="14" t="str">
        <f>E7</f>
        <v>Ecuador</v>
      </c>
      <c r="H10" s="20"/>
      <c r="I10" s="22" t="s">
        <v>38</v>
      </c>
      <c r="J10" s="20"/>
      <c r="K10" s="18" t="str">
        <f>E8</f>
        <v>Senegal</v>
      </c>
      <c r="AA10" s="5" t="str">
        <f>Y7</f>
        <v>Costa Rica</v>
      </c>
      <c r="AB10" s="20"/>
      <c r="AC10" s="22" t="s">
        <v>38</v>
      </c>
      <c r="AD10" s="20"/>
      <c r="AE10" s="5" t="str">
        <f>Y8</f>
        <v>Alemania</v>
      </c>
      <c r="AR10" s="14" t="str">
        <f>AH15</f>
        <v>Bélgica</v>
      </c>
      <c r="AS10" s="22" t="s">
        <v>38</v>
      </c>
      <c r="AT10" s="18" t="str">
        <f>AH7</f>
        <v>Alemania</v>
      </c>
      <c r="AU10" s="10"/>
      <c r="AW10" s="18"/>
    </row>
    <row r="11" spans="1:52" x14ac:dyDescent="0.3">
      <c r="H11" s="3"/>
      <c r="J11" s="3"/>
      <c r="AR11" s="14" t="str">
        <f>AH24</f>
        <v>Brasil</v>
      </c>
      <c r="AS11" s="22" t="s">
        <v>38</v>
      </c>
      <c r="AT11" s="18" t="str">
        <f>AH34</f>
        <v>Uruguay</v>
      </c>
      <c r="AU11" s="10"/>
      <c r="AW11" s="18"/>
    </row>
    <row r="12" spans="1:52" x14ac:dyDescent="0.3">
      <c r="D12" s="42" t="s">
        <v>61</v>
      </c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4"/>
      <c r="X12" s="42" t="s">
        <v>65</v>
      </c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4"/>
      <c r="AR12" s="14" t="str">
        <f>AH33</f>
        <v>Portugal</v>
      </c>
      <c r="AS12" s="22" t="s">
        <v>38</v>
      </c>
      <c r="AT12" s="18" t="str">
        <f>AH25</f>
        <v>Suiza</v>
      </c>
      <c r="AU12" s="10"/>
      <c r="AW12" s="18"/>
    </row>
    <row r="13" spans="1:52" x14ac:dyDescent="0.3">
      <c r="D13" s="45" t="s">
        <v>57</v>
      </c>
      <c r="E13" s="45"/>
      <c r="F13" s="3"/>
      <c r="G13" s="47" t="s">
        <v>59</v>
      </c>
      <c r="H13" s="48"/>
      <c r="I13" s="48"/>
      <c r="J13" s="48"/>
      <c r="K13" s="49"/>
      <c r="L13" s="3"/>
      <c r="M13" s="46" t="s">
        <v>58</v>
      </c>
      <c r="N13" s="46"/>
      <c r="O13" s="46"/>
      <c r="P13" s="46"/>
      <c r="Q13" s="46"/>
      <c r="R13" s="46"/>
      <c r="S13" s="46"/>
      <c r="T13" s="46"/>
      <c r="U13" s="46"/>
      <c r="V13" s="46"/>
      <c r="X13" s="45" t="s">
        <v>57</v>
      </c>
      <c r="Y13" s="45"/>
      <c r="Z13" s="3"/>
      <c r="AA13" s="47" t="s">
        <v>59</v>
      </c>
      <c r="AB13" s="48"/>
      <c r="AC13" s="48"/>
      <c r="AD13" s="48"/>
      <c r="AE13" s="49"/>
      <c r="AF13" s="3"/>
      <c r="AG13" s="46" t="s">
        <v>58</v>
      </c>
      <c r="AH13" s="46"/>
      <c r="AI13" s="46"/>
      <c r="AJ13" s="46"/>
      <c r="AK13" s="46"/>
      <c r="AL13" s="46"/>
      <c r="AM13" s="46"/>
      <c r="AN13" s="46"/>
      <c r="AO13" s="46"/>
      <c r="AP13" s="46"/>
      <c r="AW13" s="18"/>
    </row>
    <row r="14" spans="1:52" x14ac:dyDescent="0.3">
      <c r="D14" s="8" t="s">
        <v>21</v>
      </c>
      <c r="E14" s="8" t="s">
        <v>4</v>
      </c>
      <c r="G14" s="5" t="str">
        <f>E15</f>
        <v>Inglaterra</v>
      </c>
      <c r="H14" s="20"/>
      <c r="I14" s="22" t="s">
        <v>38</v>
      </c>
      <c r="J14" s="20"/>
      <c r="K14" s="5" t="str">
        <f>E16</f>
        <v>Irán</v>
      </c>
      <c r="M14" s="9" t="s">
        <v>21</v>
      </c>
      <c r="N14" s="9" t="s">
        <v>4</v>
      </c>
      <c r="O14" s="9" t="s">
        <v>43</v>
      </c>
      <c r="P14" s="9" t="s">
        <v>44</v>
      </c>
      <c r="Q14" s="9" t="s">
        <v>45</v>
      </c>
      <c r="R14" s="9" t="s">
        <v>46</v>
      </c>
      <c r="S14" s="9" t="s">
        <v>0</v>
      </c>
      <c r="T14" s="9" t="s">
        <v>1</v>
      </c>
      <c r="U14" s="9" t="s">
        <v>2</v>
      </c>
      <c r="V14" s="9" t="s">
        <v>41</v>
      </c>
      <c r="X14" s="8" t="s">
        <v>21</v>
      </c>
      <c r="Y14" s="8" t="s">
        <v>4</v>
      </c>
      <c r="AA14" s="5" t="str">
        <f>Y15</f>
        <v>Bélgica</v>
      </c>
      <c r="AB14" s="20"/>
      <c r="AC14" s="22" t="s">
        <v>38</v>
      </c>
      <c r="AD14" s="20"/>
      <c r="AE14" s="5" t="str">
        <f>Y16</f>
        <v>Canadá</v>
      </c>
      <c r="AG14" s="9" t="s">
        <v>21</v>
      </c>
      <c r="AH14" s="9" t="s">
        <v>4</v>
      </c>
      <c r="AI14" s="9" t="s">
        <v>43</v>
      </c>
      <c r="AJ14" s="9" t="s">
        <v>44</v>
      </c>
      <c r="AK14" s="9" t="s">
        <v>45</v>
      </c>
      <c r="AL14" s="9" t="s">
        <v>46</v>
      </c>
      <c r="AM14" s="9" t="s">
        <v>0</v>
      </c>
      <c r="AN14" s="9" t="s">
        <v>1</v>
      </c>
      <c r="AO14" s="9" t="s">
        <v>2</v>
      </c>
      <c r="AP14" s="9" t="s">
        <v>41</v>
      </c>
      <c r="AR14" s="42" t="s">
        <v>22</v>
      </c>
      <c r="AS14" s="43"/>
      <c r="AT14" s="43"/>
      <c r="AU14" s="43"/>
      <c r="AW14" s="18"/>
    </row>
    <row r="15" spans="1:52" x14ac:dyDescent="0.3">
      <c r="D15" s="5">
        <v>1</v>
      </c>
      <c r="E15" s="5" t="s">
        <v>33</v>
      </c>
      <c r="G15" s="5" t="str">
        <f>E17</f>
        <v>EEUU</v>
      </c>
      <c r="H15" s="20"/>
      <c r="I15" s="22" t="s">
        <v>38</v>
      </c>
      <c r="J15" s="20"/>
      <c r="K15" s="5" t="str">
        <f>E18</f>
        <v>Gales</v>
      </c>
      <c r="M15" s="12">
        <v>1</v>
      </c>
      <c r="N15" s="12" t="str">
        <f>VLOOKUP($M15,Auxiliar!$I$14:$V$17,2,FALSE)</f>
        <v>Inglaterra</v>
      </c>
      <c r="O15" s="12">
        <f>VLOOKUP($M15,Auxiliar!$I$14:$V$17,3,FALSE)</f>
        <v>0</v>
      </c>
      <c r="P15" s="12">
        <f>VLOOKUP($M15,Auxiliar!$I$14:$V$17,4,FALSE)</f>
        <v>0</v>
      </c>
      <c r="Q15" s="12">
        <f>VLOOKUP($M15,Auxiliar!$I$14:$V$17,5,FALSE)</f>
        <v>0</v>
      </c>
      <c r="R15" s="12">
        <f>VLOOKUP($M15,Auxiliar!$I$14:$V$17,6,FALSE)</f>
        <v>0</v>
      </c>
      <c r="S15" s="12">
        <f>VLOOKUP($M15,Auxiliar!$I$14:$V$17,7,FALSE)</f>
        <v>0</v>
      </c>
      <c r="T15" s="12">
        <f>VLOOKUP($M15,Auxiliar!$I$14:$V$17,8,FALSE)</f>
        <v>0</v>
      </c>
      <c r="U15" s="12">
        <f>VLOOKUP($M15,Auxiliar!$I$14:$V$17,9,FALSE)</f>
        <v>0</v>
      </c>
      <c r="V15" s="12">
        <f>VLOOKUP($M15,Auxiliar!$I$14:$V$17,10,FALSE)</f>
        <v>0</v>
      </c>
      <c r="X15" s="5">
        <v>1</v>
      </c>
      <c r="Y15" s="5" t="s">
        <v>32</v>
      </c>
      <c r="AA15" s="5" t="str">
        <f>Y17</f>
        <v>Marruecos</v>
      </c>
      <c r="AB15" s="20"/>
      <c r="AC15" s="22" t="s">
        <v>38</v>
      </c>
      <c r="AD15" s="20"/>
      <c r="AE15" s="5" t="str">
        <f>Y18</f>
        <v>Croacia</v>
      </c>
      <c r="AG15" s="12">
        <v>1</v>
      </c>
      <c r="AH15" s="12" t="str">
        <f>VLOOKUP($M15,Auxiliar!$I$50:$V$53,2,FALSE)</f>
        <v>Bélgica</v>
      </c>
      <c r="AI15" s="12">
        <f>VLOOKUP($M15,Auxiliar!$I$50:$V$53,3,FALSE)</f>
        <v>0</v>
      </c>
      <c r="AJ15" s="12">
        <f>VLOOKUP($M15,Auxiliar!$I$50:$V$53,4,FALSE)</f>
        <v>0</v>
      </c>
      <c r="AK15" s="12">
        <f>VLOOKUP($M15,Auxiliar!$I$50:$V$53,5,FALSE)</f>
        <v>0</v>
      </c>
      <c r="AL15" s="12">
        <f>VLOOKUP($M15,Auxiliar!$I$50:$V$53,6,FALSE)</f>
        <v>0</v>
      </c>
      <c r="AM15" s="12">
        <f>VLOOKUP($M15,Auxiliar!$I$50:$V$53,7,FALSE)</f>
        <v>0</v>
      </c>
      <c r="AN15" s="12">
        <f>VLOOKUP($M15,Auxiliar!$I$50:$V$53,8,FALSE)</f>
        <v>0</v>
      </c>
      <c r="AO15" s="12">
        <f>VLOOKUP($M15,Auxiliar!$I$50:$V$53,9,FALSE)</f>
        <v>0</v>
      </c>
      <c r="AP15" s="12">
        <f>VLOOKUP($M15,Auxiliar!$I$50:$V$53,10,FALSE)</f>
        <v>0</v>
      </c>
      <c r="AR15" s="47" t="s">
        <v>59</v>
      </c>
      <c r="AS15" s="48"/>
      <c r="AT15" s="49"/>
      <c r="AU15" s="6" t="s">
        <v>73</v>
      </c>
      <c r="AW15" s="18"/>
    </row>
    <row r="16" spans="1:52" x14ac:dyDescent="0.3">
      <c r="D16" s="5">
        <v>2</v>
      </c>
      <c r="E16" s="5" t="s">
        <v>7</v>
      </c>
      <c r="G16" s="11" t="str">
        <f>E15</f>
        <v>Inglaterra</v>
      </c>
      <c r="H16" s="21"/>
      <c r="I16" s="23" t="s">
        <v>38</v>
      </c>
      <c r="J16" s="21"/>
      <c r="K16" s="11" t="str">
        <f>E17</f>
        <v>EEUU</v>
      </c>
      <c r="M16" s="12">
        <v>2</v>
      </c>
      <c r="N16" s="12" t="str">
        <f>VLOOKUP($M16,Auxiliar!$I$14:$V$17,2,FALSE)</f>
        <v>EEUU</v>
      </c>
      <c r="O16" s="12">
        <f>VLOOKUP($M16,Auxiliar!$I$14:$V$17,3,FALSE)</f>
        <v>0</v>
      </c>
      <c r="P16" s="12">
        <f>VLOOKUP($M16,Auxiliar!$I$14:$V$17,4,FALSE)</f>
        <v>0</v>
      </c>
      <c r="Q16" s="12">
        <f>VLOOKUP($M16,Auxiliar!$I$14:$V$17,5,FALSE)</f>
        <v>0</v>
      </c>
      <c r="R16" s="12">
        <f>VLOOKUP($M16,Auxiliar!$I$14:$V$17,6,FALSE)</f>
        <v>0</v>
      </c>
      <c r="S16" s="12">
        <f>VLOOKUP($M16,Auxiliar!$I$14:$V$17,7,FALSE)</f>
        <v>0</v>
      </c>
      <c r="T16" s="12">
        <f>VLOOKUP($M16,Auxiliar!$I$14:$V$17,8,FALSE)</f>
        <v>0</v>
      </c>
      <c r="U16" s="12">
        <f>VLOOKUP($M16,Auxiliar!$I$14:$V$17,9,FALSE)</f>
        <v>0</v>
      </c>
      <c r="V16" s="12">
        <f>VLOOKUP($M16,Auxiliar!$I$14:$V$17,10,FALSE)</f>
        <v>0</v>
      </c>
      <c r="X16" s="5">
        <v>2</v>
      </c>
      <c r="Y16" s="5" t="s">
        <v>83</v>
      </c>
      <c r="AA16" s="11" t="str">
        <f>Y15</f>
        <v>Bélgica</v>
      </c>
      <c r="AB16" s="21"/>
      <c r="AC16" s="23" t="s">
        <v>38</v>
      </c>
      <c r="AD16" s="21"/>
      <c r="AE16" s="11" t="str">
        <f>Y17</f>
        <v>Marruecos</v>
      </c>
      <c r="AG16" s="12">
        <v>2</v>
      </c>
      <c r="AH16" s="12" t="str">
        <f>VLOOKUP($M16,Auxiliar!$I$50:$V$53,2,FALSE)</f>
        <v>Croacia</v>
      </c>
      <c r="AI16" s="12">
        <f>VLOOKUP($M16,Auxiliar!$I$50:$V$53,3,FALSE)</f>
        <v>0</v>
      </c>
      <c r="AJ16" s="12">
        <f>VLOOKUP($M16,Auxiliar!$I$50:$V$53,4,FALSE)</f>
        <v>0</v>
      </c>
      <c r="AK16" s="12">
        <f>VLOOKUP($M16,Auxiliar!$I$50:$V$53,5,FALSE)</f>
        <v>0</v>
      </c>
      <c r="AL16" s="12">
        <f>VLOOKUP($M16,Auxiliar!$I$50:$V$53,6,FALSE)</f>
        <v>0</v>
      </c>
      <c r="AM16" s="12">
        <f>VLOOKUP($M16,Auxiliar!$I$50:$V$53,7,FALSE)</f>
        <v>0</v>
      </c>
      <c r="AN16" s="12">
        <f>VLOOKUP($M16,Auxiliar!$I$50:$V$53,8,FALSE)</f>
        <v>0</v>
      </c>
      <c r="AO16" s="12">
        <f>VLOOKUP($M16,Auxiliar!$I$50:$V$53,9,FALSE)</f>
        <v>0</v>
      </c>
      <c r="AP16" s="12">
        <f>VLOOKUP($M16,Auxiliar!$I$50:$V$53,10,FALSE)</f>
        <v>0</v>
      </c>
      <c r="AR16" s="14" t="str">
        <f>IF(AU5="","",AU5)</f>
        <v/>
      </c>
      <c r="AS16" s="31" t="s">
        <v>38</v>
      </c>
      <c r="AT16" s="18" t="str">
        <f>IF(AU7="","",AU7)</f>
        <v/>
      </c>
      <c r="AU16" s="10"/>
    </row>
    <row r="17" spans="4:47" x14ac:dyDescent="0.3">
      <c r="D17" s="12">
        <v>3</v>
      </c>
      <c r="E17" s="12" t="s">
        <v>81</v>
      </c>
      <c r="G17" s="11" t="str">
        <f>E18</f>
        <v>Gales</v>
      </c>
      <c r="H17" s="21"/>
      <c r="I17" s="23" t="s">
        <v>38</v>
      </c>
      <c r="J17" s="21"/>
      <c r="K17" s="11" t="str">
        <f>E16</f>
        <v>Irán</v>
      </c>
      <c r="M17" s="13">
        <v>3</v>
      </c>
      <c r="N17" s="13" t="str">
        <f>VLOOKUP($M17,Auxiliar!$I$14:$V$17,2,FALSE)</f>
        <v>Gales</v>
      </c>
      <c r="O17" s="13">
        <f>VLOOKUP($M17,Auxiliar!$I$14:$V$17,3,FALSE)</f>
        <v>0</v>
      </c>
      <c r="P17" s="13">
        <f>VLOOKUP($M17,Auxiliar!$I$14:$V$17,4,FALSE)</f>
        <v>0</v>
      </c>
      <c r="Q17" s="13">
        <f>VLOOKUP($M17,Auxiliar!$I$14:$V$17,5,FALSE)</f>
        <v>0</v>
      </c>
      <c r="R17" s="13">
        <f>VLOOKUP($M17,Auxiliar!$I$14:$V$17,6,FALSE)</f>
        <v>0</v>
      </c>
      <c r="S17" s="13">
        <f>VLOOKUP($M17,Auxiliar!$I$14:$V$17,7,FALSE)</f>
        <v>0</v>
      </c>
      <c r="T17" s="13">
        <f>VLOOKUP($M17,Auxiliar!$I$14:$V$17,8,FALSE)</f>
        <v>0</v>
      </c>
      <c r="U17" s="13">
        <f>VLOOKUP($M17,Auxiliar!$I$14:$V$17,9,FALSE)</f>
        <v>0</v>
      </c>
      <c r="V17" s="13">
        <f>VLOOKUP($M17,Auxiliar!$I$14:$V$17,10,FALSE)</f>
        <v>0</v>
      </c>
      <c r="X17" s="12">
        <v>3</v>
      </c>
      <c r="Y17" s="12" t="s">
        <v>8</v>
      </c>
      <c r="AA17" s="11" t="str">
        <f>Y18</f>
        <v>Croacia</v>
      </c>
      <c r="AB17" s="21"/>
      <c r="AC17" s="23" t="s">
        <v>38</v>
      </c>
      <c r="AD17" s="21"/>
      <c r="AE17" s="11" t="str">
        <f>Y16</f>
        <v>Canadá</v>
      </c>
      <c r="AG17" s="13">
        <v>3</v>
      </c>
      <c r="AH17" s="13" t="str">
        <f>VLOOKUP($M17,Auxiliar!$I$50:$V$53,2,FALSE)</f>
        <v>Marruecos</v>
      </c>
      <c r="AI17" s="13">
        <f>VLOOKUP($M17,Auxiliar!$I$50:$V$53,3,FALSE)</f>
        <v>0</v>
      </c>
      <c r="AJ17" s="13">
        <f>VLOOKUP($M17,Auxiliar!$I$50:$V$53,4,FALSE)</f>
        <v>0</v>
      </c>
      <c r="AK17" s="13">
        <f>VLOOKUP($M17,Auxiliar!$I$50:$V$53,5,FALSE)</f>
        <v>0</v>
      </c>
      <c r="AL17" s="13">
        <f>VLOOKUP($M17,Auxiliar!$I$50:$V$53,6,FALSE)</f>
        <v>0</v>
      </c>
      <c r="AM17" s="13">
        <f>VLOOKUP($M17,Auxiliar!$I$50:$V$53,7,FALSE)</f>
        <v>0</v>
      </c>
      <c r="AN17" s="13">
        <f>VLOOKUP($M17,Auxiliar!$I$50:$V$53,8,FALSE)</f>
        <v>0</v>
      </c>
      <c r="AO17" s="13">
        <f>VLOOKUP($M17,Auxiliar!$I$50:$V$53,9,FALSE)</f>
        <v>0</v>
      </c>
      <c r="AP17" s="13">
        <f>VLOOKUP($M17,Auxiliar!$I$50:$V$53,10,FALSE)</f>
        <v>0</v>
      </c>
      <c r="AR17" s="14" t="str">
        <f>IF(AU9="","",AU9)</f>
        <v/>
      </c>
      <c r="AS17" s="32" t="s">
        <v>38</v>
      </c>
      <c r="AT17" s="5" t="str">
        <f>IF(AU11="","",AU11)</f>
        <v/>
      </c>
      <c r="AU17" s="10"/>
    </row>
    <row r="18" spans="4:47" x14ac:dyDescent="0.3">
      <c r="D18" s="12">
        <v>4</v>
      </c>
      <c r="E18" s="12" t="s">
        <v>82</v>
      </c>
      <c r="G18" s="5" t="str">
        <f>E18</f>
        <v>Gales</v>
      </c>
      <c r="H18" s="20"/>
      <c r="I18" s="22" t="s">
        <v>38</v>
      </c>
      <c r="J18" s="20"/>
      <c r="K18" s="5" t="str">
        <f>E15</f>
        <v>Inglaterra</v>
      </c>
      <c r="M18" s="13">
        <v>4</v>
      </c>
      <c r="N18" s="13" t="str">
        <f>VLOOKUP($M18,Auxiliar!$I$14:$V$17,2,FALSE)</f>
        <v>Irán</v>
      </c>
      <c r="O18" s="13">
        <f>VLOOKUP($M18,Auxiliar!$I$14:$V$17,3,FALSE)</f>
        <v>0</v>
      </c>
      <c r="P18" s="13">
        <f>VLOOKUP($M18,Auxiliar!$I$14:$V$17,4,FALSE)</f>
        <v>0</v>
      </c>
      <c r="Q18" s="13">
        <f>VLOOKUP($M18,Auxiliar!$I$14:$V$17,5,FALSE)</f>
        <v>0</v>
      </c>
      <c r="R18" s="13">
        <f>VLOOKUP($M18,Auxiliar!$I$14:$V$17,6,FALSE)</f>
        <v>0</v>
      </c>
      <c r="S18" s="13">
        <f>VLOOKUP($M18,Auxiliar!$I$14:$V$17,7,FALSE)</f>
        <v>0</v>
      </c>
      <c r="T18" s="13">
        <f>VLOOKUP($M18,Auxiliar!$I$14:$V$17,8,FALSE)</f>
        <v>0</v>
      </c>
      <c r="U18" s="13">
        <f>VLOOKUP($M18,Auxiliar!$I$14:$V$17,9,FALSE)</f>
        <v>0</v>
      </c>
      <c r="V18" s="13">
        <f>VLOOKUP($M18,Auxiliar!$I$14:$V$17,10,FALSE)</f>
        <v>0</v>
      </c>
      <c r="X18" s="12">
        <v>4</v>
      </c>
      <c r="Y18" s="12" t="s">
        <v>24</v>
      </c>
      <c r="AA18" s="5" t="str">
        <f>Y18</f>
        <v>Croacia</v>
      </c>
      <c r="AB18" s="20"/>
      <c r="AC18" s="22" t="s">
        <v>38</v>
      </c>
      <c r="AD18" s="20"/>
      <c r="AE18" s="5" t="str">
        <f>Y15</f>
        <v>Bélgica</v>
      </c>
      <c r="AG18" s="13">
        <v>4</v>
      </c>
      <c r="AH18" s="13" t="str">
        <f>VLOOKUP($M18,Auxiliar!$I$50:$V$53,2,FALSE)</f>
        <v>Canadá</v>
      </c>
      <c r="AI18" s="13">
        <f>VLOOKUP($M18,Auxiliar!$I$50:$V$53,3,FALSE)</f>
        <v>0</v>
      </c>
      <c r="AJ18" s="13">
        <f>VLOOKUP($M18,Auxiliar!$I$50:$V$53,4,FALSE)</f>
        <v>0</v>
      </c>
      <c r="AK18" s="13">
        <f>VLOOKUP($M18,Auxiliar!$I$50:$V$53,5,FALSE)</f>
        <v>0</v>
      </c>
      <c r="AL18" s="13">
        <f>VLOOKUP($M18,Auxiliar!$I$50:$V$53,6,FALSE)</f>
        <v>0</v>
      </c>
      <c r="AM18" s="13">
        <f>VLOOKUP($M18,Auxiliar!$I$50:$V$53,7,FALSE)</f>
        <v>0</v>
      </c>
      <c r="AN18" s="13">
        <f>VLOOKUP($M18,Auxiliar!$I$50:$V$53,8,FALSE)</f>
        <v>0</v>
      </c>
      <c r="AO18" s="13">
        <f>VLOOKUP($M18,Auxiliar!$I$50:$V$53,9,FALSE)</f>
        <v>0</v>
      </c>
      <c r="AP18" s="13">
        <f>VLOOKUP($M18,Auxiliar!$I$50:$V$53,10,FALSE)</f>
        <v>0</v>
      </c>
      <c r="AR18" s="14" t="str">
        <f>IF(AU10="","",AU10)</f>
        <v/>
      </c>
      <c r="AS18" s="32" t="s">
        <v>38</v>
      </c>
      <c r="AT18" s="5" t="str">
        <f>IF(AU12="","",AU12)</f>
        <v/>
      </c>
      <c r="AU18" s="10"/>
    </row>
    <row r="19" spans="4:47" x14ac:dyDescent="0.3">
      <c r="G19" s="5" t="str">
        <f>E16</f>
        <v>Irán</v>
      </c>
      <c r="H19" s="20"/>
      <c r="I19" s="22" t="s">
        <v>38</v>
      </c>
      <c r="J19" s="20"/>
      <c r="K19" s="5" t="str">
        <f>E17</f>
        <v>EEUU</v>
      </c>
      <c r="AA19" s="5" t="str">
        <f>Y16</f>
        <v>Canadá</v>
      </c>
      <c r="AB19" s="20"/>
      <c r="AC19" s="22" t="s">
        <v>38</v>
      </c>
      <c r="AD19" s="20"/>
      <c r="AE19" s="5" t="str">
        <f>Y17</f>
        <v>Marruecos</v>
      </c>
      <c r="AR19" s="14" t="str">
        <f>IF(AU6="","",AU6)</f>
        <v/>
      </c>
      <c r="AS19" s="32" t="s">
        <v>38</v>
      </c>
      <c r="AT19" s="5" t="str">
        <f>IF(AU8="","",AU8)</f>
        <v/>
      </c>
      <c r="AU19" s="10"/>
    </row>
    <row r="20" spans="4:47" x14ac:dyDescent="0.3">
      <c r="AU20" s="5"/>
    </row>
    <row r="21" spans="4:47" x14ac:dyDescent="0.3">
      <c r="D21" s="42" t="s">
        <v>62</v>
      </c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4"/>
      <c r="X21" s="42" t="s">
        <v>66</v>
      </c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4"/>
      <c r="AR21" s="42" t="s">
        <v>39</v>
      </c>
      <c r="AS21" s="43"/>
      <c r="AT21" s="43"/>
      <c r="AU21" s="43"/>
    </row>
    <row r="22" spans="4:47" x14ac:dyDescent="0.3">
      <c r="D22" s="45" t="s">
        <v>57</v>
      </c>
      <c r="E22" s="45"/>
      <c r="F22" s="3"/>
      <c r="G22" s="47" t="s">
        <v>59</v>
      </c>
      <c r="H22" s="48"/>
      <c r="I22" s="48"/>
      <c r="J22" s="48"/>
      <c r="K22" s="49"/>
      <c r="L22" s="3"/>
      <c r="M22" s="46" t="s">
        <v>58</v>
      </c>
      <c r="N22" s="46"/>
      <c r="O22" s="46"/>
      <c r="P22" s="46"/>
      <c r="Q22" s="46"/>
      <c r="R22" s="46"/>
      <c r="S22" s="46"/>
      <c r="T22" s="46"/>
      <c r="U22" s="46"/>
      <c r="V22" s="46"/>
      <c r="X22" s="45" t="s">
        <v>57</v>
      </c>
      <c r="Y22" s="45"/>
      <c r="Z22" s="3"/>
      <c r="AA22" s="47" t="s">
        <v>59</v>
      </c>
      <c r="AB22" s="48"/>
      <c r="AC22" s="48"/>
      <c r="AD22" s="48"/>
      <c r="AE22" s="49"/>
      <c r="AF22" s="3"/>
      <c r="AG22" s="46" t="s">
        <v>58</v>
      </c>
      <c r="AH22" s="46"/>
      <c r="AI22" s="46"/>
      <c r="AJ22" s="46"/>
      <c r="AK22" s="46"/>
      <c r="AL22" s="46"/>
      <c r="AM22" s="46"/>
      <c r="AN22" s="46"/>
      <c r="AO22" s="46"/>
      <c r="AP22" s="46"/>
      <c r="AR22" s="47" t="s">
        <v>59</v>
      </c>
      <c r="AS22" s="48"/>
      <c r="AT22" s="49"/>
      <c r="AU22" s="6" t="s">
        <v>73</v>
      </c>
    </row>
    <row r="23" spans="4:47" x14ac:dyDescent="0.3">
      <c r="D23" s="8" t="s">
        <v>21</v>
      </c>
      <c r="E23" s="8" t="s">
        <v>4</v>
      </c>
      <c r="G23" s="5" t="str">
        <f>E24</f>
        <v>Argentina</v>
      </c>
      <c r="H23" s="20"/>
      <c r="I23" s="22" t="s">
        <v>38</v>
      </c>
      <c r="J23" s="20"/>
      <c r="K23" s="5" t="str">
        <f>E25</f>
        <v>Arabia Saudí</v>
      </c>
      <c r="M23" s="9" t="s">
        <v>21</v>
      </c>
      <c r="N23" s="9" t="s">
        <v>4</v>
      </c>
      <c r="O23" s="9" t="s">
        <v>43</v>
      </c>
      <c r="P23" s="9" t="s">
        <v>44</v>
      </c>
      <c r="Q23" s="9" t="s">
        <v>45</v>
      </c>
      <c r="R23" s="9" t="s">
        <v>46</v>
      </c>
      <c r="S23" s="9" t="s">
        <v>0</v>
      </c>
      <c r="T23" s="9" t="s">
        <v>1</v>
      </c>
      <c r="U23" s="9" t="s">
        <v>2</v>
      </c>
      <c r="V23" s="9" t="s">
        <v>41</v>
      </c>
      <c r="X23" s="8" t="s">
        <v>21</v>
      </c>
      <c r="Y23" s="8" t="s">
        <v>4</v>
      </c>
      <c r="AA23" s="5" t="str">
        <f>Y24</f>
        <v>Brasil</v>
      </c>
      <c r="AB23" s="20"/>
      <c r="AC23" s="22" t="s">
        <v>38</v>
      </c>
      <c r="AD23" s="20"/>
      <c r="AE23" s="5" t="str">
        <f>Y25</f>
        <v>Serbia</v>
      </c>
      <c r="AG23" s="9" t="s">
        <v>21</v>
      </c>
      <c r="AH23" s="9" t="s">
        <v>4</v>
      </c>
      <c r="AI23" s="9" t="s">
        <v>43</v>
      </c>
      <c r="AJ23" s="9" t="s">
        <v>44</v>
      </c>
      <c r="AK23" s="9" t="s">
        <v>45</v>
      </c>
      <c r="AL23" s="9" t="s">
        <v>46</v>
      </c>
      <c r="AM23" s="9" t="s">
        <v>0</v>
      </c>
      <c r="AN23" s="9" t="s">
        <v>1</v>
      </c>
      <c r="AO23" s="9" t="s">
        <v>2</v>
      </c>
      <c r="AP23" s="9" t="s">
        <v>41</v>
      </c>
      <c r="AR23" s="5" t="str">
        <f>IF(AU16="","",AU16)</f>
        <v/>
      </c>
      <c r="AS23" s="33" t="s">
        <v>38</v>
      </c>
      <c r="AT23" s="5" t="str">
        <f>IF(AU17="","",AU17)</f>
        <v/>
      </c>
      <c r="AU23" s="10"/>
    </row>
    <row r="24" spans="4:47" x14ac:dyDescent="0.3">
      <c r="D24" s="5">
        <v>1</v>
      </c>
      <c r="E24" s="5" t="s">
        <v>23</v>
      </c>
      <c r="G24" s="5" t="str">
        <f>E26</f>
        <v>México</v>
      </c>
      <c r="H24" s="20"/>
      <c r="I24" s="22" t="s">
        <v>38</v>
      </c>
      <c r="J24" s="20"/>
      <c r="K24" s="5" t="str">
        <f>E27</f>
        <v>Polonia</v>
      </c>
      <c r="M24" s="12">
        <v>1</v>
      </c>
      <c r="N24" s="12" t="str">
        <f>VLOOKUP($M24,Auxiliar!$I$23:$V$26,2,FALSE)</f>
        <v>Argentina</v>
      </c>
      <c r="O24" s="12">
        <f>VLOOKUP($M24,Auxiliar!$I$23:$V$26,3,FALSE)</f>
        <v>0</v>
      </c>
      <c r="P24" s="12">
        <f>VLOOKUP($M24,Auxiliar!$I$23:$V$26,4,FALSE)</f>
        <v>0</v>
      </c>
      <c r="Q24" s="12">
        <f>VLOOKUP($M24,Auxiliar!$I$23:$V$26,5,FALSE)</f>
        <v>0</v>
      </c>
      <c r="R24" s="12">
        <f>VLOOKUP($M24,Auxiliar!$I$23:$V$26,6,FALSE)</f>
        <v>0</v>
      </c>
      <c r="S24" s="12">
        <f>VLOOKUP($M24,Auxiliar!$I$23:$V$26,7,FALSE)</f>
        <v>0</v>
      </c>
      <c r="T24" s="12">
        <f>VLOOKUP($M24,Auxiliar!$I$23:$V$26,8,FALSE)</f>
        <v>0</v>
      </c>
      <c r="U24" s="12">
        <f>VLOOKUP($M24,Auxiliar!$I$23:$V$26,9,FALSE)</f>
        <v>0</v>
      </c>
      <c r="V24" s="12">
        <f>VLOOKUP($M24,Auxiliar!$I$23:$V$26,10,FALSE)</f>
        <v>0</v>
      </c>
      <c r="X24" s="5">
        <v>1</v>
      </c>
      <c r="Y24" s="5" t="s">
        <v>25</v>
      </c>
      <c r="AA24" s="5" t="str">
        <f>Y26</f>
        <v>Suiza</v>
      </c>
      <c r="AB24" s="20"/>
      <c r="AC24" s="22" t="s">
        <v>38</v>
      </c>
      <c r="AD24" s="20"/>
      <c r="AE24" s="5" t="str">
        <f>Y27</f>
        <v>Camerún</v>
      </c>
      <c r="AG24" s="12">
        <v>1</v>
      </c>
      <c r="AH24" s="12" t="str">
        <f>VLOOKUP($M24,Auxiliar!$I$59:$V$62,2,FALSE)</f>
        <v>Brasil</v>
      </c>
      <c r="AI24" s="12">
        <f>VLOOKUP($M24,Auxiliar!$I$59:$V$62,3,FALSE)</f>
        <v>0</v>
      </c>
      <c r="AJ24" s="12">
        <f>VLOOKUP($M24,Auxiliar!$I$59:$V$62,4,FALSE)</f>
        <v>0</v>
      </c>
      <c r="AK24" s="12">
        <f>VLOOKUP($M24,Auxiliar!$I$59:$V$62,5,FALSE)</f>
        <v>0</v>
      </c>
      <c r="AL24" s="12">
        <f>VLOOKUP($M24,Auxiliar!$I$59:$V$62,6,FALSE)</f>
        <v>0</v>
      </c>
      <c r="AM24" s="12">
        <f>VLOOKUP($M24,Auxiliar!$I$59:$V$62,7,FALSE)</f>
        <v>0</v>
      </c>
      <c r="AN24" s="12">
        <f>VLOOKUP($M24,Auxiliar!$I$59:$V$62,8,FALSE)</f>
        <v>0</v>
      </c>
      <c r="AO24" s="12">
        <f>VLOOKUP($M24,Auxiliar!$I$59:$V$62,9,FALSE)</f>
        <v>0</v>
      </c>
      <c r="AP24" s="12">
        <f>VLOOKUP($M24,Auxiliar!$I$59:$V$62,10,FALSE)</f>
        <v>0</v>
      </c>
      <c r="AR24" s="14" t="str">
        <f>IF(AU18="","",AU18)</f>
        <v/>
      </c>
      <c r="AS24" s="31" t="s">
        <v>38</v>
      </c>
      <c r="AT24" s="5" t="str">
        <f>IF(AU19="","",AU19)</f>
        <v/>
      </c>
      <c r="AU24" s="10"/>
    </row>
    <row r="25" spans="4:47" x14ac:dyDescent="0.3">
      <c r="D25" s="5">
        <v>2</v>
      </c>
      <c r="E25" s="5" t="s">
        <v>5</v>
      </c>
      <c r="G25" s="11" t="str">
        <f>E24</f>
        <v>Argentina</v>
      </c>
      <c r="H25" s="21"/>
      <c r="I25" s="23" t="s">
        <v>38</v>
      </c>
      <c r="J25" s="21"/>
      <c r="K25" s="11" t="str">
        <f>E26</f>
        <v>México</v>
      </c>
      <c r="M25" s="12">
        <v>2</v>
      </c>
      <c r="N25" s="12" t="str">
        <f>VLOOKUP($M25,Auxiliar!$I$23:$V$26,2,FALSE)</f>
        <v>México</v>
      </c>
      <c r="O25" s="12">
        <f>VLOOKUP($M25,Auxiliar!$I$23:$V$26,3,FALSE)</f>
        <v>0</v>
      </c>
      <c r="P25" s="12">
        <f>VLOOKUP($M25,Auxiliar!$I$23:$V$26,4,FALSE)</f>
        <v>0</v>
      </c>
      <c r="Q25" s="12">
        <f>VLOOKUP($M25,Auxiliar!$I$23:$V$26,5,FALSE)</f>
        <v>0</v>
      </c>
      <c r="R25" s="12">
        <f>VLOOKUP($M25,Auxiliar!$I$23:$V$26,6,FALSE)</f>
        <v>0</v>
      </c>
      <c r="S25" s="12">
        <f>VLOOKUP($M25,Auxiliar!$I$23:$V$26,7,FALSE)</f>
        <v>0</v>
      </c>
      <c r="T25" s="12">
        <f>VLOOKUP($M25,Auxiliar!$I$23:$V$26,8,FALSE)</f>
        <v>0</v>
      </c>
      <c r="U25" s="12">
        <f>VLOOKUP($M25,Auxiliar!$I$23:$V$26,9,FALSE)</f>
        <v>0</v>
      </c>
      <c r="V25" s="12">
        <f>VLOOKUP($M25,Auxiliar!$I$23:$V$26,10,FALSE)</f>
        <v>0</v>
      </c>
      <c r="X25" s="5">
        <v>2</v>
      </c>
      <c r="Y25" s="5" t="s">
        <v>28</v>
      </c>
      <c r="AA25" s="11" t="str">
        <f>Y24</f>
        <v>Brasil</v>
      </c>
      <c r="AB25" s="21"/>
      <c r="AC25" s="23" t="s">
        <v>38</v>
      </c>
      <c r="AD25" s="21"/>
      <c r="AE25" s="11" t="str">
        <f>Y26</f>
        <v>Suiza</v>
      </c>
      <c r="AG25" s="12">
        <v>2</v>
      </c>
      <c r="AH25" s="12" t="str">
        <f>VLOOKUP($M25,Auxiliar!$I$59:$V$62,2,FALSE)</f>
        <v>Suiza</v>
      </c>
      <c r="AI25" s="12">
        <f>VLOOKUP($M25,Auxiliar!$I$59:$V$62,3,FALSE)</f>
        <v>0</v>
      </c>
      <c r="AJ25" s="12">
        <f>VLOOKUP($M25,Auxiliar!$I$59:$V$62,4,FALSE)</f>
        <v>0</v>
      </c>
      <c r="AK25" s="12">
        <f>VLOOKUP($M25,Auxiliar!$I$59:$V$62,5,FALSE)</f>
        <v>0</v>
      </c>
      <c r="AL25" s="12">
        <f>VLOOKUP($M25,Auxiliar!$I$59:$V$62,6,FALSE)</f>
        <v>0</v>
      </c>
      <c r="AM25" s="12">
        <f>VLOOKUP($M25,Auxiliar!$I$59:$V$62,7,FALSE)</f>
        <v>0</v>
      </c>
      <c r="AN25" s="12">
        <f>VLOOKUP($M25,Auxiliar!$I$59:$V$62,8,FALSE)</f>
        <v>0</v>
      </c>
      <c r="AO25" s="12">
        <f>VLOOKUP($M25,Auxiliar!$I$59:$V$62,9,FALSE)</f>
        <v>0</v>
      </c>
      <c r="AP25" s="12">
        <f>VLOOKUP($M25,Auxiliar!$I$59:$V$62,10,FALSE)</f>
        <v>0</v>
      </c>
    </row>
    <row r="26" spans="4:47" x14ac:dyDescent="0.3">
      <c r="D26" s="12">
        <v>3</v>
      </c>
      <c r="E26" s="12" t="s">
        <v>31</v>
      </c>
      <c r="G26" s="11" t="str">
        <f>E27</f>
        <v>Polonia</v>
      </c>
      <c r="H26" s="21"/>
      <c r="I26" s="23" t="s">
        <v>38</v>
      </c>
      <c r="J26" s="21"/>
      <c r="K26" s="11" t="str">
        <f>E25</f>
        <v>Arabia Saudí</v>
      </c>
      <c r="M26" s="13">
        <v>3</v>
      </c>
      <c r="N26" s="13" t="str">
        <f>VLOOKUP($M26,Auxiliar!$I$23:$V$26,2,FALSE)</f>
        <v>Polonia</v>
      </c>
      <c r="O26" s="13">
        <f>VLOOKUP($M26,Auxiliar!$I$23:$V$26,3,FALSE)</f>
        <v>0</v>
      </c>
      <c r="P26" s="13">
        <f>VLOOKUP($M26,Auxiliar!$I$23:$V$26,4,FALSE)</f>
        <v>0</v>
      </c>
      <c r="Q26" s="13">
        <f>VLOOKUP($M26,Auxiliar!$I$23:$V$26,5,FALSE)</f>
        <v>0</v>
      </c>
      <c r="R26" s="13">
        <f>VLOOKUP($M26,Auxiliar!$I$23:$V$26,6,FALSE)</f>
        <v>0</v>
      </c>
      <c r="S26" s="13">
        <f>VLOOKUP($M26,Auxiliar!$I$23:$V$26,7,FALSE)</f>
        <v>0</v>
      </c>
      <c r="T26" s="13">
        <f>VLOOKUP($M26,Auxiliar!$I$23:$V$26,8,FALSE)</f>
        <v>0</v>
      </c>
      <c r="U26" s="13">
        <f>VLOOKUP($M26,Auxiliar!$I$23:$V$26,9,FALSE)</f>
        <v>0</v>
      </c>
      <c r="V26" s="13">
        <f>VLOOKUP($M26,Auxiliar!$I$23:$V$26,10,FALSE)</f>
        <v>0</v>
      </c>
      <c r="X26" s="12">
        <v>3</v>
      </c>
      <c r="Y26" s="12" t="s">
        <v>27</v>
      </c>
      <c r="AA26" s="11" t="str">
        <f>Y27</f>
        <v>Camerún</v>
      </c>
      <c r="AB26" s="21"/>
      <c r="AC26" s="23" t="s">
        <v>38</v>
      </c>
      <c r="AD26" s="21"/>
      <c r="AE26" s="11" t="str">
        <f>Y25</f>
        <v>Serbia</v>
      </c>
      <c r="AG26" s="13">
        <v>3</v>
      </c>
      <c r="AH26" s="13" t="str">
        <f>VLOOKUP($M26,Auxiliar!$I$59:$V$62,2,FALSE)</f>
        <v>Serbia</v>
      </c>
      <c r="AI26" s="13">
        <f>VLOOKUP($M26,Auxiliar!$I$59:$V$62,3,FALSE)</f>
        <v>0</v>
      </c>
      <c r="AJ26" s="13">
        <f>VLOOKUP($M26,Auxiliar!$I$59:$V$62,4,FALSE)</f>
        <v>0</v>
      </c>
      <c r="AK26" s="13">
        <f>VLOOKUP($M26,Auxiliar!$I$59:$V$62,5,FALSE)</f>
        <v>0</v>
      </c>
      <c r="AL26" s="13">
        <f>VLOOKUP($M26,Auxiliar!$I$59:$V$62,6,FALSE)</f>
        <v>0</v>
      </c>
      <c r="AM26" s="13">
        <f>VLOOKUP($M26,Auxiliar!$I$59:$V$62,7,FALSE)</f>
        <v>0</v>
      </c>
      <c r="AN26" s="13">
        <f>VLOOKUP($M26,Auxiliar!$I$59:$V$62,8,FALSE)</f>
        <v>0</v>
      </c>
      <c r="AO26" s="13">
        <f>VLOOKUP($M26,Auxiliar!$I$59:$V$62,9,FALSE)</f>
        <v>0</v>
      </c>
      <c r="AP26" s="13">
        <f>VLOOKUP($M26,Auxiliar!$I$59:$V$62,10,FALSE)</f>
        <v>0</v>
      </c>
      <c r="AR26" s="42" t="s">
        <v>68</v>
      </c>
      <c r="AS26" s="43"/>
      <c r="AT26" s="43"/>
      <c r="AU26" s="43"/>
    </row>
    <row r="27" spans="4:47" x14ac:dyDescent="0.3">
      <c r="D27" s="12">
        <v>4</v>
      </c>
      <c r="E27" s="12" t="s">
        <v>36</v>
      </c>
      <c r="G27" s="5" t="str">
        <f>E27</f>
        <v>Polonia</v>
      </c>
      <c r="H27" s="20"/>
      <c r="I27" s="22" t="s">
        <v>38</v>
      </c>
      <c r="J27" s="20"/>
      <c r="K27" s="5" t="str">
        <f>E24</f>
        <v>Argentina</v>
      </c>
      <c r="M27" s="13">
        <v>4</v>
      </c>
      <c r="N27" s="13" t="str">
        <f>VLOOKUP($M27,Auxiliar!$I$23:$V$26,2,FALSE)</f>
        <v>Arabia Saudí</v>
      </c>
      <c r="O27" s="13">
        <f>VLOOKUP($M27,Auxiliar!$I$23:$V$26,3,FALSE)</f>
        <v>0</v>
      </c>
      <c r="P27" s="13">
        <f>VLOOKUP($M27,Auxiliar!$I$23:$V$26,4,FALSE)</f>
        <v>0</v>
      </c>
      <c r="Q27" s="13">
        <f>VLOOKUP($M27,Auxiliar!$I$23:$V$26,5,FALSE)</f>
        <v>0</v>
      </c>
      <c r="R27" s="13">
        <f>VLOOKUP($M27,Auxiliar!$I$23:$V$26,6,FALSE)</f>
        <v>0</v>
      </c>
      <c r="S27" s="13">
        <f>VLOOKUP($M27,Auxiliar!$I$23:$V$26,7,FALSE)</f>
        <v>0</v>
      </c>
      <c r="T27" s="13">
        <f>VLOOKUP($M27,Auxiliar!$I$23:$V$26,8,FALSE)</f>
        <v>0</v>
      </c>
      <c r="U27" s="13">
        <f>VLOOKUP($M27,Auxiliar!$I$23:$V$26,9,FALSE)</f>
        <v>0</v>
      </c>
      <c r="V27" s="13">
        <f>VLOOKUP($M27,Auxiliar!$I$23:$V$26,10,FALSE)</f>
        <v>0</v>
      </c>
      <c r="X27" s="12">
        <v>4</v>
      </c>
      <c r="Y27" s="12" t="s">
        <v>84</v>
      </c>
      <c r="AA27" s="5" t="str">
        <f>Y27</f>
        <v>Camerún</v>
      </c>
      <c r="AB27" s="20"/>
      <c r="AC27" s="22" t="s">
        <v>38</v>
      </c>
      <c r="AD27" s="20"/>
      <c r="AE27" s="5" t="str">
        <f>Y24</f>
        <v>Brasil</v>
      </c>
      <c r="AG27" s="13">
        <v>4</v>
      </c>
      <c r="AH27" s="13" t="str">
        <f>VLOOKUP($M27,Auxiliar!$I$59:$V$62,2,FALSE)</f>
        <v>Camerún</v>
      </c>
      <c r="AI27" s="13">
        <f>VLOOKUP($M27,Auxiliar!$I$59:$V$62,3,FALSE)</f>
        <v>0</v>
      </c>
      <c r="AJ27" s="13">
        <f>VLOOKUP($M27,Auxiliar!$I$59:$V$62,4,FALSE)</f>
        <v>0</v>
      </c>
      <c r="AK27" s="13">
        <f>VLOOKUP($M27,Auxiliar!$I$59:$V$62,5,FALSE)</f>
        <v>0</v>
      </c>
      <c r="AL27" s="13">
        <f>VLOOKUP($M27,Auxiliar!$I$59:$V$62,6,FALSE)</f>
        <v>0</v>
      </c>
      <c r="AM27" s="13">
        <f>VLOOKUP($M27,Auxiliar!$I$59:$V$62,7,FALSE)</f>
        <v>0</v>
      </c>
      <c r="AN27" s="13">
        <f>VLOOKUP($M27,Auxiliar!$I$59:$V$62,8,FALSE)</f>
        <v>0</v>
      </c>
      <c r="AO27" s="13">
        <f>VLOOKUP($M27,Auxiliar!$I$59:$V$62,9,FALSE)</f>
        <v>0</v>
      </c>
      <c r="AP27" s="13">
        <f>VLOOKUP($M27,Auxiliar!$I$59:$V$62,10,FALSE)</f>
        <v>0</v>
      </c>
      <c r="AR27" s="47" t="s">
        <v>59</v>
      </c>
      <c r="AS27" s="48"/>
      <c r="AT27" s="49"/>
      <c r="AU27" s="6" t="s">
        <v>72</v>
      </c>
    </row>
    <row r="28" spans="4:47" x14ac:dyDescent="0.3">
      <c r="G28" s="5" t="str">
        <f>E25</f>
        <v>Arabia Saudí</v>
      </c>
      <c r="H28" s="20"/>
      <c r="I28" s="22" t="s">
        <v>38</v>
      </c>
      <c r="J28" s="20"/>
      <c r="K28" s="5" t="str">
        <f>E26</f>
        <v>México</v>
      </c>
      <c r="AA28" s="5" t="str">
        <f>Y25</f>
        <v>Serbia</v>
      </c>
      <c r="AB28" s="20"/>
      <c r="AC28" s="22" t="s">
        <v>38</v>
      </c>
      <c r="AD28" s="20"/>
      <c r="AE28" s="5" t="str">
        <f>Y26</f>
        <v>Suiza</v>
      </c>
      <c r="AR28" s="14" t="str">
        <f>IF(AU23="","",IF(AU23=AR23,AT23,AR23))</f>
        <v/>
      </c>
      <c r="AS28" s="31" t="s">
        <v>38</v>
      </c>
      <c r="AT28" s="18" t="str">
        <f>IF(AU24="","",IF(AU24=AR24,AT24,AR24))</f>
        <v/>
      </c>
      <c r="AU28" s="10"/>
    </row>
    <row r="30" spans="4:47" x14ac:dyDescent="0.3">
      <c r="D30" s="42" t="s">
        <v>63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4"/>
      <c r="X30" s="42" t="s">
        <v>67</v>
      </c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4"/>
      <c r="AR30" s="42" t="s">
        <v>40</v>
      </c>
      <c r="AS30" s="43"/>
      <c r="AT30" s="43"/>
      <c r="AU30" s="43"/>
    </row>
    <row r="31" spans="4:47" x14ac:dyDescent="0.3">
      <c r="D31" s="45" t="s">
        <v>57</v>
      </c>
      <c r="E31" s="45"/>
      <c r="F31" s="3"/>
      <c r="G31" s="47" t="s">
        <v>59</v>
      </c>
      <c r="H31" s="48"/>
      <c r="I31" s="48"/>
      <c r="J31" s="48"/>
      <c r="K31" s="49"/>
      <c r="L31" s="3"/>
      <c r="M31" s="46" t="s">
        <v>58</v>
      </c>
      <c r="N31" s="46"/>
      <c r="O31" s="46"/>
      <c r="P31" s="46"/>
      <c r="Q31" s="46"/>
      <c r="R31" s="46"/>
      <c r="S31" s="46"/>
      <c r="T31" s="46"/>
      <c r="U31" s="46"/>
      <c r="V31" s="46"/>
      <c r="X31" s="45" t="s">
        <v>57</v>
      </c>
      <c r="Y31" s="45"/>
      <c r="Z31" s="3"/>
      <c r="AA31" s="47" t="s">
        <v>59</v>
      </c>
      <c r="AB31" s="48"/>
      <c r="AC31" s="48"/>
      <c r="AD31" s="48"/>
      <c r="AE31" s="49"/>
      <c r="AF31" s="3"/>
      <c r="AG31" s="46" t="s">
        <v>58</v>
      </c>
      <c r="AH31" s="46"/>
      <c r="AI31" s="46"/>
      <c r="AJ31" s="46"/>
      <c r="AK31" s="46"/>
      <c r="AL31" s="46"/>
      <c r="AM31" s="46"/>
      <c r="AN31" s="46"/>
      <c r="AO31" s="46"/>
      <c r="AP31" s="46"/>
      <c r="AR31" s="47" t="s">
        <v>59</v>
      </c>
      <c r="AS31" s="48"/>
      <c r="AT31" s="49"/>
      <c r="AU31" s="6" t="s">
        <v>72</v>
      </c>
    </row>
    <row r="32" spans="4:47" x14ac:dyDescent="0.3">
      <c r="D32" s="8" t="s">
        <v>21</v>
      </c>
      <c r="E32" s="8" t="s">
        <v>4</v>
      </c>
      <c r="G32" s="5" t="str">
        <f>E33</f>
        <v>Francia</v>
      </c>
      <c r="H32" s="20"/>
      <c r="I32" s="22" t="s">
        <v>38</v>
      </c>
      <c r="J32" s="20"/>
      <c r="K32" s="5" t="str">
        <f>E34</f>
        <v>Australia</v>
      </c>
      <c r="M32" s="9" t="s">
        <v>21</v>
      </c>
      <c r="N32" s="9" t="s">
        <v>4</v>
      </c>
      <c r="O32" s="9" t="s">
        <v>43</v>
      </c>
      <c r="P32" s="9" t="s">
        <v>44</v>
      </c>
      <c r="Q32" s="9" t="s">
        <v>45</v>
      </c>
      <c r="R32" s="9" t="s">
        <v>46</v>
      </c>
      <c r="S32" s="9" t="s">
        <v>0</v>
      </c>
      <c r="T32" s="9" t="s">
        <v>1</v>
      </c>
      <c r="U32" s="9" t="s">
        <v>2</v>
      </c>
      <c r="V32" s="9" t="s">
        <v>41</v>
      </c>
      <c r="X32" s="8" t="s">
        <v>21</v>
      </c>
      <c r="Y32" s="8" t="s">
        <v>4</v>
      </c>
      <c r="AA32" s="5" t="str">
        <f>Y33</f>
        <v>Portugal</v>
      </c>
      <c r="AB32" s="20"/>
      <c r="AC32" s="22" t="s">
        <v>38</v>
      </c>
      <c r="AD32" s="20"/>
      <c r="AE32" s="5" t="str">
        <f>Y34</f>
        <v>Ghana</v>
      </c>
      <c r="AG32" s="9" t="s">
        <v>21</v>
      </c>
      <c r="AH32" s="9" t="s">
        <v>4</v>
      </c>
      <c r="AI32" s="9" t="s">
        <v>43</v>
      </c>
      <c r="AJ32" s="9" t="s">
        <v>44</v>
      </c>
      <c r="AK32" s="9" t="s">
        <v>45</v>
      </c>
      <c r="AL32" s="9" t="s">
        <v>46</v>
      </c>
      <c r="AM32" s="9" t="s">
        <v>0</v>
      </c>
      <c r="AN32" s="9" t="s">
        <v>1</v>
      </c>
      <c r="AO32" s="9" t="s">
        <v>2</v>
      </c>
      <c r="AP32" s="9" t="s">
        <v>41</v>
      </c>
      <c r="AR32" s="5" t="str">
        <f>IF(AU23="","",AU23)</f>
        <v/>
      </c>
      <c r="AS32" s="33" t="s">
        <v>38</v>
      </c>
      <c r="AT32" s="5" t="str">
        <f>IF(AU24="","",AU24)</f>
        <v/>
      </c>
      <c r="AU32" s="10"/>
    </row>
    <row r="33" spans="4:48" ht="15" thickBot="1" x14ac:dyDescent="0.35">
      <c r="D33" s="5">
        <v>1</v>
      </c>
      <c r="E33" s="5" t="s">
        <v>13</v>
      </c>
      <c r="G33" s="5" t="str">
        <f>E35</f>
        <v>Dinamarca</v>
      </c>
      <c r="H33" s="20"/>
      <c r="I33" s="22" t="s">
        <v>38</v>
      </c>
      <c r="J33" s="20"/>
      <c r="K33" s="5" t="str">
        <f>E36</f>
        <v>Túnez</v>
      </c>
      <c r="M33" s="12">
        <v>1</v>
      </c>
      <c r="N33" s="12" t="str">
        <f>VLOOKUP($M33,Auxiliar!$I$32:$V$35,2,FALSE)</f>
        <v>Francia</v>
      </c>
      <c r="O33" s="12">
        <f>VLOOKUP($M33,Auxiliar!$I$32:$V$35,3,FALSE)</f>
        <v>0</v>
      </c>
      <c r="P33" s="12">
        <f>VLOOKUP($M33,Auxiliar!$I$32:$V$35,4,FALSE)</f>
        <v>0</v>
      </c>
      <c r="Q33" s="12">
        <f>VLOOKUP($M33,Auxiliar!$I$32:$V$35,5,FALSE)</f>
        <v>0</v>
      </c>
      <c r="R33" s="12">
        <f>VLOOKUP($M33,Auxiliar!$I$32:$V$35,6,FALSE)</f>
        <v>0</v>
      </c>
      <c r="S33" s="12">
        <f>VLOOKUP($M33,Auxiliar!$I$32:$V$35,7,FALSE)</f>
        <v>0</v>
      </c>
      <c r="T33" s="12">
        <f>VLOOKUP($M33,Auxiliar!$I$32:$V$35,8,FALSE)</f>
        <v>0</v>
      </c>
      <c r="U33" s="12">
        <f>VLOOKUP($M33,Auxiliar!$I$32:$V$35,9,FALSE)</f>
        <v>0</v>
      </c>
      <c r="V33" s="12">
        <f>VLOOKUP($M33,Auxiliar!$I$32:$V$35,10,FALSE)</f>
        <v>0</v>
      </c>
      <c r="X33" s="5">
        <v>1</v>
      </c>
      <c r="Y33" s="5" t="s">
        <v>9</v>
      </c>
      <c r="AA33" s="5" t="str">
        <f>Y35</f>
        <v>Uruguay</v>
      </c>
      <c r="AB33" s="20"/>
      <c r="AC33" s="22" t="s">
        <v>38</v>
      </c>
      <c r="AD33" s="20"/>
      <c r="AE33" s="5" t="str">
        <f>Y36</f>
        <v>Corea del Sur</v>
      </c>
      <c r="AG33" s="12">
        <v>1</v>
      </c>
      <c r="AH33" s="12" t="str">
        <f>VLOOKUP($M33,Auxiliar!$I$68:$V$71,2,FALSE)</f>
        <v>Portugal</v>
      </c>
      <c r="AI33" s="12">
        <f>VLOOKUP($M33,Auxiliar!$I$68:$V$71,3,FALSE)</f>
        <v>0</v>
      </c>
      <c r="AJ33" s="12">
        <f>VLOOKUP($M33,Auxiliar!$I$68:$V$71,4,FALSE)</f>
        <v>0</v>
      </c>
      <c r="AK33" s="12">
        <f>VLOOKUP($M33,Auxiliar!$I$68:$V$71,5,FALSE)</f>
        <v>0</v>
      </c>
      <c r="AL33" s="12">
        <f>VLOOKUP($M33,Auxiliar!$I$68:$V$71,6,FALSE)</f>
        <v>0</v>
      </c>
      <c r="AM33" s="12">
        <f>VLOOKUP($M33,Auxiliar!$I$68:$V$71,7,FALSE)</f>
        <v>0</v>
      </c>
      <c r="AN33" s="12">
        <f>VLOOKUP($M33,Auxiliar!$I$68:$V$71,8,FALSE)</f>
        <v>0</v>
      </c>
      <c r="AO33" s="12">
        <f>VLOOKUP($M33,Auxiliar!$I$68:$V$71,9,FALSE)</f>
        <v>0</v>
      </c>
      <c r="AP33" s="12">
        <f>VLOOKUP($M33,Auxiliar!$I$68:$V$71,10,FALSE)</f>
        <v>0</v>
      </c>
      <c r="AR33" s="15"/>
      <c r="AS33" s="15"/>
      <c r="AT33" s="15"/>
      <c r="AU33" s="27"/>
    </row>
    <row r="34" spans="4:48" x14ac:dyDescent="0.3">
      <c r="D34" s="5">
        <v>2</v>
      </c>
      <c r="E34" s="5" t="s">
        <v>11</v>
      </c>
      <c r="G34" s="11" t="str">
        <f>E33</f>
        <v>Francia</v>
      </c>
      <c r="H34" s="21"/>
      <c r="I34" s="23" t="s">
        <v>38</v>
      </c>
      <c r="J34" s="21"/>
      <c r="K34" s="11" t="str">
        <f>E35</f>
        <v>Dinamarca</v>
      </c>
      <c r="M34" s="12">
        <v>2</v>
      </c>
      <c r="N34" s="12" t="str">
        <f>VLOOKUP($M34,Auxiliar!$I$32:$V$35,2,FALSE)</f>
        <v>Dinamarca</v>
      </c>
      <c r="O34" s="12">
        <f>VLOOKUP($M34,Auxiliar!$I$32:$V$35,3,FALSE)</f>
        <v>0</v>
      </c>
      <c r="P34" s="12">
        <f>VLOOKUP($M34,Auxiliar!$I$32:$V$35,4,FALSE)</f>
        <v>0</v>
      </c>
      <c r="Q34" s="12">
        <f>VLOOKUP($M34,Auxiliar!$I$32:$V$35,5,FALSE)</f>
        <v>0</v>
      </c>
      <c r="R34" s="12">
        <f>VLOOKUP($M34,Auxiliar!$I$32:$V$35,6,FALSE)</f>
        <v>0</v>
      </c>
      <c r="S34" s="12">
        <f>VLOOKUP($M34,Auxiliar!$I$32:$V$35,7,FALSE)</f>
        <v>0</v>
      </c>
      <c r="T34" s="12">
        <f>VLOOKUP($M34,Auxiliar!$I$32:$V$35,8,FALSE)</f>
        <v>0</v>
      </c>
      <c r="U34" s="12">
        <f>VLOOKUP($M34,Auxiliar!$I$32:$V$35,9,FALSE)</f>
        <v>0</v>
      </c>
      <c r="V34" s="12">
        <f>VLOOKUP($M34,Auxiliar!$I$32:$V$35,10,FALSE)</f>
        <v>0</v>
      </c>
      <c r="X34" s="5">
        <v>2</v>
      </c>
      <c r="Y34" s="5" t="s">
        <v>85</v>
      </c>
      <c r="AA34" s="11" t="str">
        <f>Y33</f>
        <v>Portugal</v>
      </c>
      <c r="AB34" s="21"/>
      <c r="AC34" s="23" t="s">
        <v>38</v>
      </c>
      <c r="AD34" s="21"/>
      <c r="AE34" s="11" t="str">
        <f>Y35</f>
        <v>Uruguay</v>
      </c>
      <c r="AG34" s="12">
        <v>2</v>
      </c>
      <c r="AH34" s="12" t="str">
        <f>VLOOKUP($M34,Auxiliar!$I$68:$V$71,2,FALSE)</f>
        <v>Uruguay</v>
      </c>
      <c r="AI34" s="12">
        <f>VLOOKUP($M34,Auxiliar!$I$68:$V$71,3,FALSE)</f>
        <v>0</v>
      </c>
      <c r="AJ34" s="12">
        <f>VLOOKUP($M34,Auxiliar!$I$68:$V$71,4,FALSE)</f>
        <v>0</v>
      </c>
      <c r="AK34" s="12">
        <f>VLOOKUP($M34,Auxiliar!$I$68:$V$71,5,FALSE)</f>
        <v>0</v>
      </c>
      <c r="AL34" s="12">
        <f>VLOOKUP($M34,Auxiliar!$I$68:$V$71,6,FALSE)</f>
        <v>0</v>
      </c>
      <c r="AM34" s="12">
        <f>VLOOKUP($M34,Auxiliar!$I$68:$V$71,7,FALSE)</f>
        <v>0</v>
      </c>
      <c r="AN34" s="12">
        <f>VLOOKUP($M34,Auxiliar!$I$68:$V$71,8,FALSE)</f>
        <v>0</v>
      </c>
      <c r="AO34" s="12">
        <f>VLOOKUP($M34,Auxiliar!$I$68:$V$71,9,FALSE)</f>
        <v>0</v>
      </c>
      <c r="AP34" s="12">
        <f>VLOOKUP($M34,Auxiliar!$I$68:$V$71,10,FALSE)</f>
        <v>0</v>
      </c>
      <c r="AQ34" s="14"/>
      <c r="AR34" s="62" t="s">
        <v>51</v>
      </c>
      <c r="AS34" s="63"/>
      <c r="AT34" s="64"/>
      <c r="AU34" s="53"/>
      <c r="AV34" s="18"/>
    </row>
    <row r="35" spans="4:48" x14ac:dyDescent="0.3">
      <c r="D35" s="12">
        <v>3</v>
      </c>
      <c r="E35" s="12" t="s">
        <v>12</v>
      </c>
      <c r="G35" s="11" t="str">
        <f>E36</f>
        <v>Túnez</v>
      </c>
      <c r="H35" s="21"/>
      <c r="I35" s="23" t="s">
        <v>38</v>
      </c>
      <c r="J35" s="21"/>
      <c r="K35" s="11" t="str">
        <f>E34</f>
        <v>Australia</v>
      </c>
      <c r="M35" s="13">
        <v>3</v>
      </c>
      <c r="N35" s="13" t="str">
        <f>VLOOKUP($M35,Auxiliar!$I$32:$V$35,2,FALSE)</f>
        <v>Túnez</v>
      </c>
      <c r="O35" s="13">
        <f>VLOOKUP($M35,Auxiliar!$I$32:$V$35,3,FALSE)</f>
        <v>0</v>
      </c>
      <c r="P35" s="13">
        <f>VLOOKUP($M35,Auxiliar!$I$32:$V$35,4,FALSE)</f>
        <v>0</v>
      </c>
      <c r="Q35" s="13">
        <f>VLOOKUP($M35,Auxiliar!$I$32:$V$35,5,FALSE)</f>
        <v>0</v>
      </c>
      <c r="R35" s="13">
        <f>VLOOKUP($M35,Auxiliar!$I$32:$V$35,6,FALSE)</f>
        <v>0</v>
      </c>
      <c r="S35" s="13">
        <f>VLOOKUP($M35,Auxiliar!$I$32:$V$35,7,FALSE)</f>
        <v>0</v>
      </c>
      <c r="T35" s="13">
        <f>VLOOKUP($M35,Auxiliar!$I$32:$V$35,8,FALSE)</f>
        <v>0</v>
      </c>
      <c r="U35" s="13">
        <f>VLOOKUP($M35,Auxiliar!$I$32:$V$35,9,FALSE)</f>
        <v>0</v>
      </c>
      <c r="V35" s="13">
        <f>VLOOKUP($M35,Auxiliar!$I$32:$V$35,10,FALSE)</f>
        <v>0</v>
      </c>
      <c r="X35" s="12">
        <v>3</v>
      </c>
      <c r="Y35" s="12" t="s">
        <v>6</v>
      </c>
      <c r="AA35" s="11" t="str">
        <f>Y36</f>
        <v>Corea del Sur</v>
      </c>
      <c r="AB35" s="21"/>
      <c r="AC35" s="23" t="s">
        <v>38</v>
      </c>
      <c r="AD35" s="21"/>
      <c r="AE35" s="11" t="str">
        <f>Y34</f>
        <v>Ghana</v>
      </c>
      <c r="AG35" s="13">
        <v>3</v>
      </c>
      <c r="AH35" s="13" t="str">
        <f>VLOOKUP($M35,Auxiliar!$I$68:$V$71,2,FALSE)</f>
        <v>Corea del Sur</v>
      </c>
      <c r="AI35" s="13">
        <f>VLOOKUP($M35,Auxiliar!$I$68:$V$71,3,FALSE)</f>
        <v>0</v>
      </c>
      <c r="AJ35" s="13">
        <f>VLOOKUP($M35,Auxiliar!$I$68:$V$71,4,FALSE)</f>
        <v>0</v>
      </c>
      <c r="AK35" s="13">
        <f>VLOOKUP($M35,Auxiliar!$I$68:$V$71,5,FALSE)</f>
        <v>0</v>
      </c>
      <c r="AL35" s="13">
        <f>VLOOKUP($M35,Auxiliar!$I$68:$V$71,6,FALSE)</f>
        <v>0</v>
      </c>
      <c r="AM35" s="13">
        <f>VLOOKUP($M35,Auxiliar!$I$68:$V$71,7,FALSE)</f>
        <v>0</v>
      </c>
      <c r="AN35" s="13">
        <f>VLOOKUP($M35,Auxiliar!$I$68:$V$71,8,FALSE)</f>
        <v>0</v>
      </c>
      <c r="AO35" s="13">
        <f>VLOOKUP($M35,Auxiliar!$I$68:$V$71,9,FALSE)</f>
        <v>0</v>
      </c>
      <c r="AP35" s="13">
        <f>VLOOKUP($M35,Auxiliar!$I$68:$V$71,10,FALSE)</f>
        <v>0</v>
      </c>
      <c r="AQ35" s="14"/>
      <c r="AR35" s="56" t="str">
        <f>IF(AU32="","",AU32)</f>
        <v/>
      </c>
      <c r="AS35" s="57"/>
      <c r="AT35" s="58"/>
      <c r="AU35" s="54"/>
      <c r="AV35" s="18"/>
    </row>
    <row r="36" spans="4:48" ht="15" thickBot="1" x14ac:dyDescent="0.35">
      <c r="D36" s="12">
        <v>4</v>
      </c>
      <c r="E36" s="12" t="s">
        <v>34</v>
      </c>
      <c r="G36" s="5" t="str">
        <f>E36</f>
        <v>Túnez</v>
      </c>
      <c r="H36" s="20"/>
      <c r="I36" s="22" t="s">
        <v>38</v>
      </c>
      <c r="J36" s="20"/>
      <c r="K36" s="5" t="str">
        <f>E33</f>
        <v>Francia</v>
      </c>
      <c r="M36" s="13">
        <v>4</v>
      </c>
      <c r="N36" s="13" t="str">
        <f>VLOOKUP($M36,Auxiliar!$I$32:$V$35,2,FALSE)</f>
        <v>Australia</v>
      </c>
      <c r="O36" s="13">
        <f>VLOOKUP($M36,Auxiliar!$I$32:$V$35,3,FALSE)</f>
        <v>0</v>
      </c>
      <c r="P36" s="13">
        <f>VLOOKUP($M36,Auxiliar!$I$32:$V$35,4,FALSE)</f>
        <v>0</v>
      </c>
      <c r="Q36" s="13">
        <f>VLOOKUP($M36,Auxiliar!$I$32:$V$35,5,FALSE)</f>
        <v>0</v>
      </c>
      <c r="R36" s="13">
        <f>VLOOKUP($M36,Auxiliar!$I$32:$V$35,6,FALSE)</f>
        <v>0</v>
      </c>
      <c r="S36" s="13">
        <f>VLOOKUP($M36,Auxiliar!$I$32:$V$35,7,FALSE)</f>
        <v>0</v>
      </c>
      <c r="T36" s="13">
        <f>VLOOKUP($M36,Auxiliar!$I$32:$V$35,8,FALSE)</f>
        <v>0</v>
      </c>
      <c r="U36" s="13">
        <f>VLOOKUP($M36,Auxiliar!$I$32:$V$35,9,FALSE)</f>
        <v>0</v>
      </c>
      <c r="V36" s="13">
        <f>VLOOKUP($M36,Auxiliar!$I$32:$V$35,10,FALSE)</f>
        <v>0</v>
      </c>
      <c r="X36" s="12">
        <v>4</v>
      </c>
      <c r="Y36" s="12" t="s">
        <v>30</v>
      </c>
      <c r="AA36" s="5" t="str">
        <f>Y36</f>
        <v>Corea del Sur</v>
      </c>
      <c r="AB36" s="20"/>
      <c r="AC36" s="22" t="s">
        <v>38</v>
      </c>
      <c r="AD36" s="20"/>
      <c r="AE36" s="5" t="str">
        <f>Y33</f>
        <v>Portugal</v>
      </c>
      <c r="AG36" s="13">
        <v>4</v>
      </c>
      <c r="AH36" s="13" t="str">
        <f>VLOOKUP($M36,Auxiliar!$I$68:$V$71,2,FALSE)</f>
        <v>Ghana</v>
      </c>
      <c r="AI36" s="13">
        <f>VLOOKUP($M36,Auxiliar!$I$68:$V$71,3,FALSE)</f>
        <v>0</v>
      </c>
      <c r="AJ36" s="13">
        <f>VLOOKUP($M36,Auxiliar!$I$68:$V$71,4,FALSE)</f>
        <v>0</v>
      </c>
      <c r="AK36" s="13">
        <f>VLOOKUP($M36,Auxiliar!$I$68:$V$71,5,FALSE)</f>
        <v>0</v>
      </c>
      <c r="AL36" s="13">
        <f>VLOOKUP($M36,Auxiliar!$I$68:$V$71,6,FALSE)</f>
        <v>0</v>
      </c>
      <c r="AM36" s="13">
        <f>VLOOKUP($M36,Auxiliar!$I$68:$V$71,7,FALSE)</f>
        <v>0</v>
      </c>
      <c r="AN36" s="13">
        <f>VLOOKUP($M36,Auxiliar!$I$68:$V$71,8,FALSE)</f>
        <v>0</v>
      </c>
      <c r="AO36" s="13">
        <f>VLOOKUP($M36,Auxiliar!$I$68:$V$71,9,FALSE)</f>
        <v>0</v>
      </c>
      <c r="AP36" s="13">
        <f>VLOOKUP($M36,Auxiliar!$I$68:$V$71,10,FALSE)</f>
        <v>0</v>
      </c>
      <c r="AQ36" s="14"/>
      <c r="AR36" s="59"/>
      <c r="AS36" s="60"/>
      <c r="AT36" s="61"/>
      <c r="AU36" s="55"/>
      <c r="AV36" s="18"/>
    </row>
    <row r="37" spans="4:48" x14ac:dyDescent="0.3">
      <c r="G37" s="5" t="str">
        <f>E34</f>
        <v>Australia</v>
      </c>
      <c r="H37" s="20"/>
      <c r="I37" s="22" t="s">
        <v>38</v>
      </c>
      <c r="J37" s="20"/>
      <c r="K37" s="5" t="str">
        <f>E35</f>
        <v>Dinamarca</v>
      </c>
      <c r="AA37" s="5" t="str">
        <f>Y34</f>
        <v>Ghana</v>
      </c>
      <c r="AB37" s="20"/>
      <c r="AC37" s="22" t="s">
        <v>38</v>
      </c>
      <c r="AD37" s="20"/>
      <c r="AE37" s="5" t="str">
        <f>Y35</f>
        <v>Uruguay</v>
      </c>
      <c r="AQ37" s="14"/>
      <c r="AR37" s="62" t="s">
        <v>69</v>
      </c>
      <c r="AS37" s="63"/>
      <c r="AT37" s="64"/>
      <c r="AU37" s="30"/>
      <c r="AV37" s="18"/>
    </row>
    <row r="38" spans="4:48" x14ac:dyDescent="0.3">
      <c r="AQ38" s="14"/>
      <c r="AR38" s="56" t="str">
        <f>IF(AU32="","",IF(AU32=AR32,AT32,AR32))</f>
        <v/>
      </c>
      <c r="AS38" s="57"/>
      <c r="AT38" s="58"/>
      <c r="AU38" s="28"/>
      <c r="AV38" s="18"/>
    </row>
    <row r="39" spans="4:48" ht="15" thickBot="1" x14ac:dyDescent="0.35">
      <c r="AQ39" s="14"/>
      <c r="AR39" s="59"/>
      <c r="AS39" s="60"/>
      <c r="AT39" s="61"/>
      <c r="AU39" s="29"/>
      <c r="AV39" s="18"/>
    </row>
    <row r="40" spans="4:48" x14ac:dyDescent="0.3">
      <c r="AB40" s="16"/>
      <c r="AD40" s="5" t="s">
        <v>71</v>
      </c>
      <c r="AQ40" s="14"/>
      <c r="AR40" s="62" t="s">
        <v>70</v>
      </c>
      <c r="AS40" s="63"/>
      <c r="AT40" s="64"/>
      <c r="AU40" s="30"/>
      <c r="AV40" s="18"/>
    </row>
    <row r="41" spans="4:48" x14ac:dyDescent="0.3">
      <c r="AQ41" s="14"/>
      <c r="AR41" s="56" t="str">
        <f>IF(AU28="","",AU28)</f>
        <v/>
      </c>
      <c r="AS41" s="57"/>
      <c r="AT41" s="58"/>
      <c r="AU41" s="28"/>
      <c r="AV41" s="18"/>
    </row>
    <row r="42" spans="4:48" ht="15" thickBot="1" x14ac:dyDescent="0.35">
      <c r="AQ42" s="14"/>
      <c r="AR42" s="59"/>
      <c r="AS42" s="60"/>
      <c r="AT42" s="61"/>
      <c r="AU42" s="29"/>
      <c r="AV42" s="18"/>
    </row>
    <row r="43" spans="4:48" ht="15" thickBot="1" x14ac:dyDescent="0.35">
      <c r="AR43" s="50" t="s">
        <v>74</v>
      </c>
      <c r="AS43" s="51"/>
      <c r="AT43" s="52"/>
      <c r="AU43" s="65"/>
      <c r="AV43" s="18"/>
    </row>
    <row r="44" spans="4:48" ht="15" thickBot="1" x14ac:dyDescent="0.35">
      <c r="AQ44" s="15"/>
      <c r="AR44" s="68" t="s">
        <v>75</v>
      </c>
      <c r="AS44" s="69"/>
      <c r="AT44" s="25" t="s">
        <v>76</v>
      </c>
      <c r="AU44" s="66"/>
      <c r="AV44" s="18"/>
    </row>
    <row r="45" spans="4:48" ht="15" thickBot="1" x14ac:dyDescent="0.35">
      <c r="AP45" s="14"/>
      <c r="AR45" s="70"/>
      <c r="AS45" s="71"/>
      <c r="AT45" s="26"/>
      <c r="AU45" s="67"/>
      <c r="AV45" s="18"/>
    </row>
    <row r="46" spans="4:48" x14ac:dyDescent="0.3">
      <c r="G46"/>
      <c r="AQ46" s="3"/>
      <c r="AU46" s="4"/>
    </row>
  </sheetData>
  <sheetProtection sheet="1" objects="1" scenarios="1" selectLockedCells="1"/>
  <mergeCells count="53">
    <mergeCell ref="AR35:AT36"/>
    <mergeCell ref="AR37:AT37"/>
    <mergeCell ref="AR38:AT39"/>
    <mergeCell ref="AR34:AT34"/>
    <mergeCell ref="AU43:AU45"/>
    <mergeCell ref="AR44:AS44"/>
    <mergeCell ref="AR45:AS45"/>
    <mergeCell ref="AR40:AT40"/>
    <mergeCell ref="AR41:AT42"/>
    <mergeCell ref="X13:Y13"/>
    <mergeCell ref="AA13:AE13"/>
    <mergeCell ref="AG4:AP4"/>
    <mergeCell ref="AR43:AT43"/>
    <mergeCell ref="AR31:AT31"/>
    <mergeCell ref="AR3:AU3"/>
    <mergeCell ref="AR26:AU26"/>
    <mergeCell ref="X21:AP21"/>
    <mergeCell ref="AR30:AU30"/>
    <mergeCell ref="X31:Y31"/>
    <mergeCell ref="AA31:AE31"/>
    <mergeCell ref="AG31:AP31"/>
    <mergeCell ref="X3:AP3"/>
    <mergeCell ref="X12:AP12"/>
    <mergeCell ref="AU34:AU36"/>
    <mergeCell ref="D31:E31"/>
    <mergeCell ref="G31:K31"/>
    <mergeCell ref="M31:V31"/>
    <mergeCell ref="X30:AP30"/>
    <mergeCell ref="AR4:AT4"/>
    <mergeCell ref="AR15:AT15"/>
    <mergeCell ref="AR22:AT22"/>
    <mergeCell ref="AR27:AT27"/>
    <mergeCell ref="AG13:AP13"/>
    <mergeCell ref="AR14:AU14"/>
    <mergeCell ref="AR21:AU21"/>
    <mergeCell ref="X22:Y22"/>
    <mergeCell ref="AA22:AE22"/>
    <mergeCell ref="AG22:AP22"/>
    <mergeCell ref="X4:Y4"/>
    <mergeCell ref="AA4:AE4"/>
    <mergeCell ref="D12:V12"/>
    <mergeCell ref="D21:V21"/>
    <mergeCell ref="D30:V30"/>
    <mergeCell ref="D3:V3"/>
    <mergeCell ref="D13:E13"/>
    <mergeCell ref="M13:V13"/>
    <mergeCell ref="G13:K13"/>
    <mergeCell ref="D22:E22"/>
    <mergeCell ref="G22:K22"/>
    <mergeCell ref="M22:V22"/>
    <mergeCell ref="D4:E4"/>
    <mergeCell ref="M4:V4"/>
    <mergeCell ref="G4:K4"/>
  </mergeCells>
  <conditionalFormatting sqref="AT6 AR5">
    <cfRule type="expression" dxfId="8" priority="10">
      <formula>SUM($O$6:$O$9)&lt;&gt;12</formula>
    </cfRule>
  </conditionalFormatting>
  <conditionalFormatting sqref="AR6 AT5">
    <cfRule type="expression" dxfId="7" priority="8">
      <formula>SUM($O$15:$O$18)&lt;&gt;12</formula>
    </cfRule>
  </conditionalFormatting>
  <conditionalFormatting sqref="AR7 AT8">
    <cfRule type="expression" dxfId="6" priority="7">
      <formula>SUM($O$24:$O$27)&lt;&gt;12</formula>
    </cfRule>
  </conditionalFormatting>
  <conditionalFormatting sqref="AT7 AR8">
    <cfRule type="expression" dxfId="5" priority="6">
      <formula>SUM($O$33:$O$36)&lt;&gt;12</formula>
    </cfRule>
  </conditionalFormatting>
  <conditionalFormatting sqref="AR9 AT10">
    <cfRule type="expression" dxfId="4" priority="5">
      <formula>SUM($AI$6:$AI$9)&lt;&gt;12</formula>
    </cfRule>
  </conditionalFormatting>
  <conditionalFormatting sqref="AT9 AR10">
    <cfRule type="expression" dxfId="3" priority="4">
      <formula>SUM($AI$15:$AI$18)&lt;&gt;12</formula>
    </cfRule>
  </conditionalFormatting>
  <conditionalFormatting sqref="AR11 AT12">
    <cfRule type="expression" dxfId="2" priority="3">
      <formula>SUM($AI$24:$AI$27)&lt;&gt;12</formula>
    </cfRule>
  </conditionalFormatting>
  <conditionalFormatting sqref="AT11 AR12">
    <cfRule type="expression" dxfId="1" priority="2">
      <formula>SUM($AI$33:$AI$36)&lt;&gt;12</formula>
    </cfRule>
  </conditionalFormatting>
  <conditionalFormatting sqref="AR16:AR19 AT16:AT19 AR23:AR24 AT23:AT24 AR28 AT28 AR32 AT32">
    <cfRule type="cellIs" dxfId="0" priority="1" operator="equal">
      <formula>""""""</formula>
    </cfRule>
  </conditionalFormatting>
  <dataValidations count="3">
    <dataValidation type="whole" allowBlank="1" showInputMessage="1" showErrorMessage="1" errorTitle="DATO INCORRECTO" error="Sólo valores numéricos enteros positivos." sqref="J32:J37 H14:H19 H32:H37 J14:J19 J23:J28 AD32:AD37 H5:H10 AB23:AB28 AD14:AD19 AD5:AD10 H23:H28 J5:J10 AB14:AB19 AD23:AD28 AB5:AB10 AB32:AB37" xr:uid="{00000000-0002-0000-0000-000000000000}">
      <formula1>0</formula1>
      <formula2>1000000000</formula2>
    </dataValidation>
    <dataValidation type="list" allowBlank="1" showInputMessage="1" showErrorMessage="1" errorTitle="SELECCIÓN INCORRECTA" error="Selección no válida" sqref="AR45:AS45" xr:uid="{00000000-0002-0000-0000-000002000000}">
      <formula1>Países</formula1>
    </dataValidation>
    <dataValidation type="list" allowBlank="1" showInputMessage="1" showErrorMessage="1" sqref="AT45" xr:uid="{00000000-0002-0000-0000-000001000000}">
      <formula1>INDIRECT(SUBSTITUTE(CONCATENATE(AR45,"_2")," ",""))</formula1>
    </dataValidation>
  </dataValidations>
  <pageMargins left="0.7" right="0.7" top="0.75" bottom="0.75" header="0.3" footer="0.3"/>
  <pageSetup paperSize="9" orientation="portrait" horizontalDpi="300" verticalDpi="300" r:id="rId1"/>
  <ignoredErrors>
    <ignoredError sqref="G8" formula="1"/>
  </ignoredErrors>
  <drawing r:id="rId2"/>
  <legacyDrawing r:id="rId3"/>
  <controls>
    <mc:AlternateContent xmlns:mc="http://schemas.openxmlformats.org/markup-compatibility/2006">
      <mc:Choice Requires="x14">
        <control shapeId="1053" r:id="rId4" name="CommandButton15">
          <controlPr defaultSize="0" autoLine="0" r:id="rId5">
            <anchor moveWithCells="1" sizeWithCells="1">
              <from>
                <xdr:col>48</xdr:col>
                <xdr:colOff>0</xdr:colOff>
                <xdr:row>15</xdr:row>
                <xdr:rowOff>137160</xdr:rowOff>
              </from>
              <to>
                <xdr:col>48</xdr:col>
                <xdr:colOff>0</xdr:colOff>
                <xdr:row>17</xdr:row>
                <xdr:rowOff>99060</xdr:rowOff>
              </to>
            </anchor>
          </controlPr>
        </control>
      </mc:Choice>
      <mc:Fallback>
        <control shapeId="1053" r:id="rId4" name="CommandButton15"/>
      </mc:Fallback>
    </mc:AlternateContent>
    <mc:AlternateContent xmlns:mc="http://schemas.openxmlformats.org/markup-compatibility/2006">
      <mc:Choice Requires="x14">
        <control shapeId="1076" r:id="rId6" name="Button 52">
          <controlPr defaultSize="0" print="0" autoFill="0" autoPict="0" macro="[0]!ResetGrupoA">
            <anchor moveWithCells="1" sizeWithCells="1">
              <from>
                <xdr:col>17</xdr:col>
                <xdr:colOff>91440</xdr:colOff>
                <xdr:row>2</xdr:row>
                <xdr:rowOff>22860</xdr:rowOff>
              </from>
              <to>
                <xdr:col>21</xdr:col>
                <xdr:colOff>175260</xdr:colOff>
                <xdr:row>2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7" name="Button 55">
          <controlPr defaultSize="0" print="0" autoFill="0" autoPict="0" macro="[0]!ResetGrupoB">
            <anchor moveWithCells="1" sizeWithCells="1">
              <from>
                <xdr:col>17</xdr:col>
                <xdr:colOff>83820</xdr:colOff>
                <xdr:row>11</xdr:row>
                <xdr:rowOff>15240</xdr:rowOff>
              </from>
              <to>
                <xdr:col>21</xdr:col>
                <xdr:colOff>175260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8" name="Button 57">
          <controlPr defaultSize="0" print="0" autoFill="0" autoPict="0" macro="[0]!ResetOctavos">
            <anchor moveWithCells="1" sizeWithCells="1">
              <from>
                <xdr:col>46</xdr:col>
                <xdr:colOff>937260</xdr:colOff>
                <xdr:row>2</xdr:row>
                <xdr:rowOff>22860</xdr:rowOff>
              </from>
              <to>
                <xdr:col>46</xdr:col>
                <xdr:colOff>1661160</xdr:colOff>
                <xdr:row>2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9" name="Button 58">
          <controlPr defaultSize="0" print="0" autoFill="0" autoPict="0" macro="[0]!ResetGrupoD">
            <anchor moveWithCells="1" sizeWithCells="1">
              <from>
                <xdr:col>17</xdr:col>
                <xdr:colOff>76200</xdr:colOff>
                <xdr:row>28</xdr:row>
                <xdr:rowOff>175260</xdr:rowOff>
              </from>
              <to>
                <xdr:col>21</xdr:col>
                <xdr:colOff>175260</xdr:colOff>
                <xdr:row>29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10" name="Button 59">
          <controlPr defaultSize="0" print="0" autoFill="0" autoPict="0" macro="[0]!ResetGrupoC">
            <anchor moveWithCells="1" sizeWithCells="1">
              <from>
                <xdr:col>17</xdr:col>
                <xdr:colOff>83820</xdr:colOff>
                <xdr:row>20</xdr:row>
                <xdr:rowOff>0</xdr:rowOff>
              </from>
              <to>
                <xdr:col>21</xdr:col>
                <xdr:colOff>175260</xdr:colOff>
                <xdr:row>20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11" name="Button 60">
          <controlPr defaultSize="0" print="0" autoFill="0" autoPict="0" macro="[0]!ResetGrupoH">
            <anchor moveWithCells="1" sizeWithCells="1">
              <from>
                <xdr:col>37</xdr:col>
                <xdr:colOff>99060</xdr:colOff>
                <xdr:row>28</xdr:row>
                <xdr:rowOff>175260</xdr:rowOff>
              </from>
              <to>
                <xdr:col>41</xdr:col>
                <xdr:colOff>190500</xdr:colOff>
                <xdr:row>29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12" name="Button 61">
          <controlPr defaultSize="0" print="0" autoFill="0" autoPict="0" macro="[0]!ResetGrupoG">
            <anchor moveWithCells="1" sizeWithCells="1">
              <from>
                <xdr:col>37</xdr:col>
                <xdr:colOff>83820</xdr:colOff>
                <xdr:row>19</xdr:row>
                <xdr:rowOff>182880</xdr:rowOff>
              </from>
              <to>
                <xdr:col>41</xdr:col>
                <xdr:colOff>175260</xdr:colOff>
                <xdr:row>20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13" name="Button 62">
          <controlPr defaultSize="0" print="0" autoFill="0" autoPict="0" macro="[0]!ResetGrupoF">
            <anchor moveWithCells="1" sizeWithCells="1">
              <from>
                <xdr:col>37</xdr:col>
                <xdr:colOff>91440</xdr:colOff>
                <xdr:row>11</xdr:row>
                <xdr:rowOff>15240</xdr:rowOff>
              </from>
              <to>
                <xdr:col>41</xdr:col>
                <xdr:colOff>175260</xdr:colOff>
                <xdr:row>11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14" name="Button 63">
          <controlPr defaultSize="0" print="0" autoFill="0" autoPict="0" macro="[0]!ResetGrupoE">
            <anchor moveWithCells="1" sizeWithCells="1">
              <from>
                <xdr:col>37</xdr:col>
                <xdr:colOff>91440</xdr:colOff>
                <xdr:row>2</xdr:row>
                <xdr:rowOff>15240</xdr:rowOff>
              </from>
              <to>
                <xdr:col>41</xdr:col>
                <xdr:colOff>175260</xdr:colOff>
                <xdr:row>2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15" name="Button 64">
          <controlPr defaultSize="0" print="0" autoFill="0" autoPict="0" macro="[0]!ResetFinal">
            <anchor moveWithCells="1" sizeWithCells="1">
              <from>
                <xdr:col>46</xdr:col>
                <xdr:colOff>944880</xdr:colOff>
                <xdr:row>29</xdr:row>
                <xdr:rowOff>7620</xdr:rowOff>
              </from>
              <to>
                <xdr:col>46</xdr:col>
                <xdr:colOff>1676400</xdr:colOff>
                <xdr:row>29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16" name="Button 65">
          <controlPr defaultSize="0" print="0" autoFill="0" autoPict="0" macro="[0]!Reset3y4Puesto">
            <anchor moveWithCells="1" sizeWithCells="1">
              <from>
                <xdr:col>46</xdr:col>
                <xdr:colOff>937260</xdr:colOff>
                <xdr:row>25</xdr:row>
                <xdr:rowOff>15240</xdr:rowOff>
              </from>
              <to>
                <xdr:col>46</xdr:col>
                <xdr:colOff>1668780</xdr:colOff>
                <xdr:row>25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17" name="Button 66">
          <controlPr defaultSize="0" print="0" autoFill="0" autoPict="0" macro="[0]!ResetSemis">
            <anchor moveWithCells="1" sizeWithCells="1">
              <from>
                <xdr:col>46</xdr:col>
                <xdr:colOff>937260</xdr:colOff>
                <xdr:row>20</xdr:row>
                <xdr:rowOff>22860</xdr:rowOff>
              </from>
              <to>
                <xdr:col>46</xdr:col>
                <xdr:colOff>1661160</xdr:colOff>
                <xdr:row>20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18" name="Button 67">
          <controlPr defaultSize="0" print="0" autoFill="0" autoPict="0" macro="[0]!ResetCuartos">
            <anchor moveWithCells="1" sizeWithCells="1">
              <from>
                <xdr:col>46</xdr:col>
                <xdr:colOff>937260</xdr:colOff>
                <xdr:row>13</xdr:row>
                <xdr:rowOff>7620</xdr:rowOff>
              </from>
              <to>
                <xdr:col>46</xdr:col>
                <xdr:colOff>1661160</xdr:colOff>
                <xdr:row>13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19" name="Button 74">
          <controlPr defaultSize="0" print="0" autoFill="0" autoPict="0" macro="[0]!ResetTorneo">
            <anchor moveWithCells="1" sizeWithCells="1">
              <from>
                <xdr:col>28</xdr:col>
                <xdr:colOff>76200</xdr:colOff>
                <xdr:row>40</xdr:row>
                <xdr:rowOff>182880</xdr:rowOff>
              </from>
              <to>
                <xdr:col>36</xdr:col>
                <xdr:colOff>137160</xdr:colOff>
                <xdr:row>42</xdr:row>
                <xdr:rowOff>175260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showInputMessage="1" showErrorMessage="1" xr:uid="{00000000-0002-0000-0000-000003000000}">
          <x14:formula1>
            <xm:f>Auxiliar!$AL$3:$AM$3</xm:f>
          </x14:formula1>
          <xm:sqref>AU5</xm:sqref>
        </x14:dataValidation>
        <x14:dataValidation type="list" allowBlank="1" showInputMessage="1" showErrorMessage="1" xr:uid="{00000000-0002-0000-0000-000004000000}">
          <x14:formula1>
            <xm:f>Auxiliar!$AL$4:$AM$4</xm:f>
          </x14:formula1>
          <xm:sqref>AU6</xm:sqref>
        </x14:dataValidation>
        <x14:dataValidation type="list" allowBlank="1" showInputMessage="1" showErrorMessage="1" xr:uid="{00000000-0002-0000-0000-000005000000}">
          <x14:formula1>
            <xm:f>Auxiliar!$AL$5:$AM$5</xm:f>
          </x14:formula1>
          <xm:sqref>AU7</xm:sqref>
        </x14:dataValidation>
        <x14:dataValidation type="list" allowBlank="1" showInputMessage="1" showErrorMessage="1" xr:uid="{00000000-0002-0000-0000-000006000000}">
          <x14:formula1>
            <xm:f>Auxiliar!$AL$6:$AM$6</xm:f>
          </x14:formula1>
          <xm:sqref>AU8</xm:sqref>
        </x14:dataValidation>
        <x14:dataValidation type="list" allowBlank="1" showInputMessage="1" showErrorMessage="1" xr:uid="{00000000-0002-0000-0000-000007000000}">
          <x14:formula1>
            <xm:f>Auxiliar!$AL$7:$AM$7</xm:f>
          </x14:formula1>
          <xm:sqref>AU9</xm:sqref>
        </x14:dataValidation>
        <x14:dataValidation type="list" allowBlank="1" showInputMessage="1" showErrorMessage="1" xr:uid="{00000000-0002-0000-0000-000008000000}">
          <x14:formula1>
            <xm:f>Auxiliar!$AL$8:$AM$8</xm:f>
          </x14:formula1>
          <xm:sqref>AU10</xm:sqref>
        </x14:dataValidation>
        <x14:dataValidation type="list" allowBlank="1" showInputMessage="1" showErrorMessage="1" xr:uid="{00000000-0002-0000-0000-000009000000}">
          <x14:formula1>
            <xm:f>Auxiliar!$AL$9:$AM$9</xm:f>
          </x14:formula1>
          <xm:sqref>AU11</xm:sqref>
        </x14:dataValidation>
        <x14:dataValidation type="list" allowBlank="1" showInputMessage="1" showErrorMessage="1" xr:uid="{00000000-0002-0000-0000-00000A000000}">
          <x14:formula1>
            <xm:f>Auxiliar!$AL$10:$AM$10</xm:f>
          </x14:formula1>
          <xm:sqref>AU12</xm:sqref>
        </x14:dataValidation>
        <x14:dataValidation type="list" allowBlank="1" showInputMessage="1" showErrorMessage="1" xr:uid="{00000000-0002-0000-0000-00000B000000}">
          <x14:formula1>
            <xm:f>Auxiliar!$AL$14:$AM$14</xm:f>
          </x14:formula1>
          <xm:sqref>AU16</xm:sqref>
        </x14:dataValidation>
        <x14:dataValidation type="list" allowBlank="1" showInputMessage="1" showErrorMessage="1" xr:uid="{00000000-0002-0000-0000-00000C000000}">
          <x14:formula1>
            <xm:f>Auxiliar!$AL$15:$AM$15</xm:f>
          </x14:formula1>
          <xm:sqref>AU17</xm:sqref>
        </x14:dataValidation>
        <x14:dataValidation type="list" allowBlank="1" showInputMessage="1" showErrorMessage="1" xr:uid="{00000000-0002-0000-0000-00000D000000}">
          <x14:formula1>
            <xm:f>Auxiliar!$AL$17:$AM$17</xm:f>
          </x14:formula1>
          <xm:sqref>AU19</xm:sqref>
        </x14:dataValidation>
        <x14:dataValidation type="list" allowBlank="1" showInputMessage="1" showErrorMessage="1" xr:uid="{00000000-0002-0000-0000-00000E000000}">
          <x14:formula1>
            <xm:f>Auxiliar!$AL$20:$AM$20</xm:f>
          </x14:formula1>
          <xm:sqref>AU23</xm:sqref>
        </x14:dataValidation>
        <x14:dataValidation type="list" allowBlank="1" showInputMessage="1" showErrorMessage="1" xr:uid="{00000000-0002-0000-0000-00000F000000}">
          <x14:formula1>
            <xm:f>Auxiliar!$AL$21:$AM$21</xm:f>
          </x14:formula1>
          <xm:sqref>AU24</xm:sqref>
        </x14:dataValidation>
        <x14:dataValidation type="list" allowBlank="1" showInputMessage="1" showErrorMessage="1" xr:uid="{00000000-0002-0000-0000-000010000000}">
          <x14:formula1>
            <xm:f>Auxiliar!$AL$24:$AM$24</xm:f>
          </x14:formula1>
          <xm:sqref>AU28</xm:sqref>
        </x14:dataValidation>
        <x14:dataValidation type="list" allowBlank="1" showInputMessage="1" showErrorMessage="1" xr:uid="{00000000-0002-0000-0000-000011000000}">
          <x14:formula1>
            <xm:f>Auxiliar!$AL$27:$AM$27</xm:f>
          </x14:formula1>
          <xm:sqref>AU32</xm:sqref>
        </x14:dataValidation>
        <x14:dataValidation type="list" allowBlank="1" showInputMessage="1" showErrorMessage="1" xr:uid="{00000000-0002-0000-0000-000012000000}">
          <x14:formula1>
            <xm:f>Auxiliar!$AL$16:$AM$16</xm:f>
          </x14:formula1>
          <xm:sqref>AU18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AO81"/>
  <sheetViews>
    <sheetView topLeftCell="A25" zoomScaleNormal="100" workbookViewId="0">
      <selection activeCell="AD7" sqref="AD7"/>
    </sheetView>
  </sheetViews>
  <sheetFormatPr defaultColWidth="9.21875" defaultRowHeight="14.4" x14ac:dyDescent="0.3"/>
  <cols>
    <col min="1" max="1" width="1.77734375" style="1" bestFit="1" customWidth="1"/>
    <col min="2" max="2" width="11.88671875" bestFit="1" customWidth="1"/>
    <col min="3" max="3" width="1.88671875" bestFit="1" customWidth="1"/>
    <col min="4" max="4" width="1.6640625" bestFit="1" customWidth="1"/>
    <col min="5" max="5" width="2" customWidth="1"/>
    <col min="6" max="6" width="11.88671875" bestFit="1" customWidth="1"/>
    <col min="7" max="7" width="1.21875" customWidth="1"/>
    <col min="8" max="8" width="1.77734375" bestFit="1" customWidth="1"/>
    <col min="9" max="9" width="1.88671875" customWidth="1"/>
    <col min="10" max="10" width="11.77734375" bestFit="1" customWidth="1"/>
    <col min="11" max="11" width="2.44140625" bestFit="1" customWidth="1"/>
    <col min="12" max="12" width="3.21875" bestFit="1" customWidth="1"/>
    <col min="13" max="13" width="2.77734375" bestFit="1" customWidth="1"/>
    <col min="14" max="14" width="2.77734375" customWidth="1"/>
    <col min="15" max="15" width="3" bestFit="1" customWidth="1"/>
    <col min="16" max="16" width="3.21875" customWidth="1"/>
    <col min="17" max="17" width="3.44140625" bestFit="1" customWidth="1"/>
    <col min="18" max="18" width="2.77734375" bestFit="1" customWidth="1"/>
    <col min="19" max="19" width="7.88671875" bestFit="1" customWidth="1"/>
    <col min="20" max="20" width="7" bestFit="1" customWidth="1"/>
    <col min="21" max="21" width="7.33203125" bestFit="1" customWidth="1"/>
    <col min="22" max="22" width="9" bestFit="1" customWidth="1"/>
    <col min="23" max="23" width="2.21875" customWidth="1"/>
    <col min="24" max="25" width="11.77734375" bestFit="1" customWidth="1"/>
    <col min="26" max="27" width="1.88671875" bestFit="1" customWidth="1"/>
    <col min="28" max="28" width="6.88671875" bestFit="1" customWidth="1"/>
    <col min="29" max="29" width="5.88671875" bestFit="1" customWidth="1"/>
    <col min="30" max="30" width="9.6640625" bestFit="1" customWidth="1"/>
    <col min="31" max="31" width="1.6640625" customWidth="1"/>
    <col min="32" max="32" width="11.77734375" bestFit="1" customWidth="1"/>
    <col min="33" max="33" width="8.77734375" bestFit="1" customWidth="1"/>
    <col min="34" max="34" width="11" bestFit="1" customWidth="1"/>
    <col min="35" max="35" width="9.6640625" bestFit="1" customWidth="1"/>
    <col min="36" max="36" width="11.77734375" bestFit="1" customWidth="1"/>
    <col min="37" max="37" width="9.21875" style="1"/>
    <col min="38" max="38" width="10.77734375" style="1" bestFit="1" customWidth="1"/>
    <col min="39" max="39" width="9.77734375" style="1" bestFit="1" customWidth="1"/>
    <col min="40" max="40" width="9.21875" style="1"/>
    <col min="42" max="16384" width="9.21875" style="1"/>
  </cols>
  <sheetData>
    <row r="2" spans="2:40" ht="124.8" x14ac:dyDescent="0.3">
      <c r="AB2" s="40" t="s">
        <v>86</v>
      </c>
      <c r="AC2" s="40" t="s">
        <v>87</v>
      </c>
      <c r="AD2" s="40" t="s">
        <v>77</v>
      </c>
      <c r="AL2" s="74" t="s">
        <v>52</v>
      </c>
      <c r="AM2" s="75"/>
      <c r="AN2" s="40" t="s">
        <v>91</v>
      </c>
    </row>
    <row r="3" spans="2:40" x14ac:dyDescent="0.3">
      <c r="B3" t="str">
        <f>Apuesta!G5</f>
        <v>Qatar</v>
      </c>
      <c r="C3" s="34" t="str">
        <f>IF(Apuesta!H5="","",Apuesta!H5)</f>
        <v/>
      </c>
      <c r="D3" t="e">
        <f>#REF!</f>
        <v>#REF!</v>
      </c>
      <c r="E3" s="34" t="str">
        <f>IF(Apuesta!J5="","",Apuesta!J5)</f>
        <v/>
      </c>
      <c r="F3" t="str">
        <f>Apuesta!K5</f>
        <v>Ecuador</v>
      </c>
      <c r="I3" s="72" t="s">
        <v>3</v>
      </c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X3" t="str">
        <f t="shared" ref="X3:X8" si="0">B3 &amp; IF(OR(C3="",E3=""),"",IF(C3&gt;E3,"_win",IF(C3&lt;E3,"_lose","_draw")))</f>
        <v>Qatar</v>
      </c>
      <c r="Y3" t="str">
        <f t="shared" ref="Y3:Y8" si="1">F3 &amp; IF(OR(C3="",E3=""),"",IF(C3&lt;E3,"_win",IF(C3&gt;E3,"_lose","_draw")))</f>
        <v>Ecuador</v>
      </c>
      <c r="Z3">
        <f t="shared" ref="Z3:Z8" si="2">IF(OR(C3="",E3=""),0,C3)</f>
        <v>0</v>
      </c>
      <c r="AA3">
        <f t="shared" ref="AA3:AA8" si="3">IF(OR(C3="",E3=""),0,E3)</f>
        <v>0</v>
      </c>
      <c r="AB3" s="39">
        <v>0</v>
      </c>
      <c r="AC3" s="39">
        <v>0</v>
      </c>
      <c r="AG3" t="str">
        <f>J5</f>
        <v>Qatar</v>
      </c>
      <c r="AH3" t="str">
        <f>J6</f>
        <v>Ecuador</v>
      </c>
      <c r="AI3" t="str">
        <f>J7</f>
        <v>Senegal</v>
      </c>
      <c r="AJ3" t="str">
        <f>J8</f>
        <v>Países Bajos</v>
      </c>
      <c r="AL3" s="2" t="str">
        <f>Apuesta!AR5</f>
        <v>Países Bajos</v>
      </c>
      <c r="AM3" s="2" t="str">
        <f>Apuesta!AT5</f>
        <v>EEUU</v>
      </c>
      <c r="AN3" s="41">
        <v>0</v>
      </c>
    </row>
    <row r="4" spans="2:40" x14ac:dyDescent="0.3">
      <c r="B4" t="str">
        <f>Apuesta!G6</f>
        <v>Senegal</v>
      </c>
      <c r="C4" s="34" t="str">
        <f>IF(Apuesta!H6="","",Apuesta!H6)</f>
        <v/>
      </c>
      <c r="D4" t="e">
        <f>#REF!</f>
        <v>#REF!</v>
      </c>
      <c r="E4" s="34" t="str">
        <f>IF(Apuesta!J6="","",Apuesta!J6)</f>
        <v/>
      </c>
      <c r="F4" t="str">
        <f>Apuesta!K6</f>
        <v>Países Bajos</v>
      </c>
      <c r="I4" s="35" t="s">
        <v>21</v>
      </c>
      <c r="J4" s="35" t="s">
        <v>4</v>
      </c>
      <c r="K4" s="35" t="s">
        <v>43</v>
      </c>
      <c r="L4" s="35" t="s">
        <v>44</v>
      </c>
      <c r="M4" s="35" t="s">
        <v>45</v>
      </c>
      <c r="N4" s="35" t="s">
        <v>46</v>
      </c>
      <c r="O4" s="35" t="s">
        <v>0</v>
      </c>
      <c r="P4" s="35" t="s">
        <v>1</v>
      </c>
      <c r="Q4" s="35" t="s">
        <v>2</v>
      </c>
      <c r="R4" s="35" t="s">
        <v>41</v>
      </c>
      <c r="S4" s="35" t="s">
        <v>48</v>
      </c>
      <c r="T4" s="35" t="s">
        <v>49</v>
      </c>
      <c r="U4" s="35" t="s">
        <v>47</v>
      </c>
      <c r="V4" s="35" t="s">
        <v>50</v>
      </c>
      <c r="X4" t="str">
        <f t="shared" si="0"/>
        <v>Senegal</v>
      </c>
      <c r="Y4" t="str">
        <f t="shared" si="1"/>
        <v>Países Bajos</v>
      </c>
      <c r="Z4">
        <f t="shared" si="2"/>
        <v>0</v>
      </c>
      <c r="AA4">
        <f t="shared" si="3"/>
        <v>0</v>
      </c>
      <c r="AB4" s="39">
        <v>0</v>
      </c>
      <c r="AC4" s="39">
        <v>0</v>
      </c>
      <c r="AF4" t="str">
        <f>J5</f>
        <v>Qatar</v>
      </c>
      <c r="AG4" s="36"/>
      <c r="AH4">
        <f>IF(Z3&gt;AA3,2,IF(Z3=AA3,1,0))</f>
        <v>1</v>
      </c>
      <c r="AI4">
        <f>IF(Z5&gt;AA5,2,IF(Z5=AA5,1,0))</f>
        <v>1</v>
      </c>
      <c r="AJ4">
        <f>IF(Z7&gt;AA7,0,IF(Z7=AA7,1,2))</f>
        <v>1</v>
      </c>
      <c r="AL4" s="2" t="str">
        <f>Apuesta!AR6</f>
        <v>Inglaterra</v>
      </c>
      <c r="AM4" s="2" t="str">
        <f>Apuesta!AT6</f>
        <v>Senegal</v>
      </c>
      <c r="AN4" s="41">
        <v>0</v>
      </c>
    </row>
    <row r="5" spans="2:40" x14ac:dyDescent="0.3">
      <c r="B5" s="37" t="str">
        <f>Apuesta!G7</f>
        <v>Qatar</v>
      </c>
      <c r="C5" s="38" t="str">
        <f>IF(Apuesta!H7="","",Apuesta!H7)</f>
        <v/>
      </c>
      <c r="D5" s="37" t="e">
        <f>#REF!</f>
        <v>#REF!</v>
      </c>
      <c r="E5" s="38" t="str">
        <f>IF(Apuesta!J7="","",Apuesta!J7)</f>
        <v/>
      </c>
      <c r="F5" s="37" t="str">
        <f>Apuesta!K7</f>
        <v>Senegal</v>
      </c>
      <c r="I5">
        <f>RANK(V5,V$5:V$8,0)</f>
        <v>4</v>
      </c>
      <c r="J5" t="str">
        <f>Apuesta!E6</f>
        <v>Qatar</v>
      </c>
      <c r="K5">
        <f>SUM(L5:N5)</f>
        <v>0</v>
      </c>
      <c r="L5">
        <f>COUNTIF(X:Y,J5&amp;"_win")</f>
        <v>0</v>
      </c>
      <c r="M5">
        <f>COUNTIF(X:Y,J5&amp;"_draw")</f>
        <v>0</v>
      </c>
      <c r="N5">
        <f>COUNTIF(X:Y,J5&amp;"_lose")</f>
        <v>0</v>
      </c>
      <c r="O5">
        <f>SUMIF(B:B,J5,Z:Z)+SUMIF(F:F,J5,AA:AA)</f>
        <v>0</v>
      </c>
      <c r="P5">
        <f>SUMIF(B:B,J5,AA:AA)+SUMIF(F:F,J5,Z:Z)</f>
        <v>0</v>
      </c>
      <c r="Q5">
        <f>O5-P5</f>
        <v>0</v>
      </c>
      <c r="R5">
        <f>L5*3+M5*1</f>
        <v>0</v>
      </c>
      <c r="S5">
        <v>50</v>
      </c>
      <c r="T5">
        <f>RANK(O5,O$5:O$8,1)</f>
        <v>1</v>
      </c>
      <c r="U5">
        <f>RANK(Q5,Q$5:Q$8,1)</f>
        <v>1</v>
      </c>
      <c r="V5">
        <f>R5*1000000+U5*100000+T5*10000-S5</f>
        <v>109950</v>
      </c>
      <c r="X5" t="str">
        <f t="shared" si="0"/>
        <v>Qatar</v>
      </c>
      <c r="Y5" t="str">
        <f t="shared" si="1"/>
        <v>Senegal</v>
      </c>
      <c r="Z5">
        <f t="shared" si="2"/>
        <v>0</v>
      </c>
      <c r="AA5">
        <f t="shared" si="3"/>
        <v>0</v>
      </c>
      <c r="AB5" s="39">
        <v>0</v>
      </c>
      <c r="AC5" s="39">
        <v>0</v>
      </c>
      <c r="AD5" s="39">
        <v>0</v>
      </c>
      <c r="AF5" t="str">
        <f>J6</f>
        <v>Ecuador</v>
      </c>
      <c r="AG5">
        <f>2-AH4</f>
        <v>1</v>
      </c>
      <c r="AH5" s="36"/>
      <c r="AI5">
        <f>IF(Z8&gt;AA8,2,IF(Z8=AA8,1,0))</f>
        <v>1</v>
      </c>
      <c r="AJ5">
        <f>IF(Z6&gt;AA6,0,IF(Z6=AA6,1,2))</f>
        <v>1</v>
      </c>
      <c r="AL5" s="2" t="str">
        <f>Apuesta!AR7</f>
        <v>Argentina</v>
      </c>
      <c r="AM5" s="2" t="str">
        <f>Apuesta!AT7</f>
        <v>Dinamarca</v>
      </c>
      <c r="AN5" s="41">
        <v>0</v>
      </c>
    </row>
    <row r="6" spans="2:40" x14ac:dyDescent="0.3">
      <c r="B6" s="37" t="str">
        <f>Apuesta!G8</f>
        <v>Países Bajos</v>
      </c>
      <c r="C6" s="38" t="str">
        <f>IF(Apuesta!H8="","",Apuesta!H8)</f>
        <v/>
      </c>
      <c r="D6" s="37" t="e">
        <f>#REF!</f>
        <v>#REF!</v>
      </c>
      <c r="E6" s="38" t="str">
        <f>IF(Apuesta!J8="","",Apuesta!J8)</f>
        <v/>
      </c>
      <c r="F6" s="37" t="str">
        <f>Apuesta!K8</f>
        <v>Ecuador</v>
      </c>
      <c r="I6">
        <f>RANK(V6,V$5:V$8,0)</f>
        <v>3</v>
      </c>
      <c r="J6" t="str">
        <f>Apuesta!E7</f>
        <v>Ecuador</v>
      </c>
      <c r="K6">
        <f t="shared" ref="K6:K70" si="4">SUM(L6:N6)</f>
        <v>0</v>
      </c>
      <c r="L6">
        <f>COUNTIF(X:Y,J6&amp;"_win")</f>
        <v>0</v>
      </c>
      <c r="M6">
        <f>COUNTIF(X:Y,J6&amp;"_draw")</f>
        <v>0</v>
      </c>
      <c r="N6">
        <f>COUNTIF(X:Y,J6&amp;"_lose")</f>
        <v>0</v>
      </c>
      <c r="O6">
        <f>SUMIF(B:B,J6,Z:Z)+SUMIF(F:F,J6,AA:AA)</f>
        <v>0</v>
      </c>
      <c r="P6">
        <f>SUMIF(B:B,J6,AA:AA)+SUMIF(F:F,J6,Z:Z)</f>
        <v>0</v>
      </c>
      <c r="Q6">
        <f>O6-P6</f>
        <v>0</v>
      </c>
      <c r="R6">
        <f t="shared" ref="R6:R70" si="5">L6*3+M6*1</f>
        <v>0</v>
      </c>
      <c r="S6">
        <v>44</v>
      </c>
      <c r="T6">
        <f>RANK(O6,O$5:O$8,1)</f>
        <v>1</v>
      </c>
      <c r="U6">
        <f>RANK(Q6,Q$5:Q$8,1)</f>
        <v>1</v>
      </c>
      <c r="V6">
        <f>R6*1000000+U6*100000+T6*10000-S6</f>
        <v>109956</v>
      </c>
      <c r="X6" t="str">
        <f t="shared" si="0"/>
        <v>Países Bajos</v>
      </c>
      <c r="Y6" t="str">
        <f t="shared" si="1"/>
        <v>Ecuador</v>
      </c>
      <c r="Z6">
        <f t="shared" si="2"/>
        <v>0</v>
      </c>
      <c r="AA6">
        <f t="shared" si="3"/>
        <v>0</v>
      </c>
      <c r="AB6" s="39">
        <v>3</v>
      </c>
      <c r="AC6" s="39">
        <v>1</v>
      </c>
      <c r="AD6" s="39">
        <v>0</v>
      </c>
      <c r="AF6" t="str">
        <f>J7</f>
        <v>Senegal</v>
      </c>
      <c r="AG6">
        <f>2-AI4</f>
        <v>1</v>
      </c>
      <c r="AH6">
        <f>2-AI5</f>
        <v>1</v>
      </c>
      <c r="AI6" s="36"/>
      <c r="AJ6">
        <f>IF(Z4&gt;AA4,2,IF(Z4=AA4,1,0))</f>
        <v>1</v>
      </c>
      <c r="AL6" s="2" t="str">
        <f>Apuesta!AR8</f>
        <v>Francia</v>
      </c>
      <c r="AM6" s="2" t="str">
        <f>Apuesta!AT8</f>
        <v>México</v>
      </c>
      <c r="AN6" s="41">
        <v>0</v>
      </c>
    </row>
    <row r="7" spans="2:40" x14ac:dyDescent="0.3">
      <c r="B7" t="str">
        <f>Apuesta!G9</f>
        <v>Países Bajos</v>
      </c>
      <c r="C7" s="34" t="str">
        <f>IF(Apuesta!H9="","",Apuesta!H9)</f>
        <v/>
      </c>
      <c r="D7" t="e">
        <f>#REF!</f>
        <v>#REF!</v>
      </c>
      <c r="E7" s="34" t="str">
        <f>IF(Apuesta!J9="","",Apuesta!J9)</f>
        <v/>
      </c>
      <c r="F7" t="str">
        <f>Apuesta!K9</f>
        <v>Qatar</v>
      </c>
      <c r="I7">
        <f>RANK(V7,V$5:V$8,0)</f>
        <v>2</v>
      </c>
      <c r="J7" t="str">
        <f>Apuesta!E8</f>
        <v>Senegal</v>
      </c>
      <c r="K7">
        <f t="shared" si="4"/>
        <v>0</v>
      </c>
      <c r="L7">
        <f>COUNTIF(X:Y,J7&amp;"_win")</f>
        <v>0</v>
      </c>
      <c r="M7">
        <f>COUNTIF(X:Y,J7&amp;"_draw")</f>
        <v>0</v>
      </c>
      <c r="N7">
        <f>COUNTIF(X:Y,J7&amp;"_lose")</f>
        <v>0</v>
      </c>
      <c r="O7">
        <f>SUMIF(B:B,J7,Z:Z)+SUMIF(F:F,J7,AA:AA)</f>
        <v>0</v>
      </c>
      <c r="P7">
        <f>SUMIF(B:B,J7,AA:AA)+SUMIF(F:F,J7,Z:Z)</f>
        <v>0</v>
      </c>
      <c r="Q7">
        <f>O7-P7</f>
        <v>0</v>
      </c>
      <c r="R7">
        <f t="shared" si="5"/>
        <v>0</v>
      </c>
      <c r="S7">
        <v>18</v>
      </c>
      <c r="T7">
        <f>RANK(O7,O$5:O$8,1)</f>
        <v>1</v>
      </c>
      <c r="U7">
        <f>RANK(Q7,Q$5:Q$8,1)</f>
        <v>1</v>
      </c>
      <c r="V7">
        <f>R7*1000000+U7*100000+T7*10000-S7</f>
        <v>109982</v>
      </c>
      <c r="X7" t="str">
        <f t="shared" si="0"/>
        <v>Países Bajos</v>
      </c>
      <c r="Y7" t="str">
        <f t="shared" si="1"/>
        <v>Qatar</v>
      </c>
      <c r="Z7">
        <f t="shared" si="2"/>
        <v>0</v>
      </c>
      <c r="AA7">
        <f t="shared" si="3"/>
        <v>0</v>
      </c>
      <c r="AB7" s="39">
        <v>0</v>
      </c>
      <c r="AC7" s="39">
        <v>0</v>
      </c>
      <c r="AD7" s="39">
        <v>0</v>
      </c>
      <c r="AF7" t="str">
        <f>J8</f>
        <v>Países Bajos</v>
      </c>
      <c r="AG7">
        <f>2-AJ4</f>
        <v>1</v>
      </c>
      <c r="AH7">
        <f>2-AJ5</f>
        <v>1</v>
      </c>
      <c r="AI7">
        <f>2-AJ6</f>
        <v>1</v>
      </c>
      <c r="AJ7" s="36"/>
      <c r="AL7" s="2" t="str">
        <f>Apuesta!AR9</f>
        <v>España</v>
      </c>
      <c r="AM7" s="2" t="str">
        <f>Apuesta!AT9</f>
        <v>Croacia</v>
      </c>
      <c r="AN7" s="41">
        <v>0</v>
      </c>
    </row>
    <row r="8" spans="2:40" x14ac:dyDescent="0.3">
      <c r="B8" t="str">
        <f>Apuesta!G10</f>
        <v>Ecuador</v>
      </c>
      <c r="C8" s="34" t="str">
        <f>IF(Apuesta!H10="","",Apuesta!H10)</f>
        <v/>
      </c>
      <c r="D8" t="e">
        <f>#REF!</f>
        <v>#REF!</v>
      </c>
      <c r="E8" s="34" t="str">
        <f>IF(Apuesta!J10="","",Apuesta!J10)</f>
        <v/>
      </c>
      <c r="F8" t="str">
        <f>Apuesta!K10</f>
        <v>Senegal</v>
      </c>
      <c r="I8">
        <f>RANK(V8,V$5:V$8,0)</f>
        <v>1</v>
      </c>
      <c r="J8" t="str">
        <f>Apuesta!E9</f>
        <v>Países Bajos</v>
      </c>
      <c r="K8">
        <f t="shared" si="4"/>
        <v>0</v>
      </c>
      <c r="L8">
        <f>COUNTIF(X:Y,J8&amp;"_win")</f>
        <v>0</v>
      </c>
      <c r="M8">
        <f>COUNTIF(X:Y,J8&amp;"_draw")</f>
        <v>0</v>
      </c>
      <c r="N8">
        <f>COUNTIF(X:Y,J8&amp;"_lose")</f>
        <v>0</v>
      </c>
      <c r="O8">
        <f>SUMIF(B:B,J8,Z:Z)+SUMIF(F:F,J8,AA:AA)</f>
        <v>0</v>
      </c>
      <c r="P8">
        <f>SUMIF(B:B,J8,AA:AA)+SUMIF(F:F,J8,Z:Z)</f>
        <v>0</v>
      </c>
      <c r="Q8">
        <f>O8-P8</f>
        <v>0</v>
      </c>
      <c r="R8">
        <f t="shared" si="5"/>
        <v>0</v>
      </c>
      <c r="S8">
        <v>8</v>
      </c>
      <c r="T8">
        <f>RANK(O8,O$5:O$8,1)</f>
        <v>1</v>
      </c>
      <c r="U8">
        <f>RANK(Q8,Q$5:Q$8,1)</f>
        <v>1</v>
      </c>
      <c r="V8">
        <f>R8*1000000+U8*100000+T8*10000-S8</f>
        <v>109992</v>
      </c>
      <c r="X8" t="str">
        <f t="shared" si="0"/>
        <v>Ecuador</v>
      </c>
      <c r="Y8" t="str">
        <f t="shared" si="1"/>
        <v>Senegal</v>
      </c>
      <c r="Z8">
        <f t="shared" si="2"/>
        <v>0</v>
      </c>
      <c r="AA8">
        <f t="shared" si="3"/>
        <v>0</v>
      </c>
      <c r="AB8" s="39">
        <v>3</v>
      </c>
      <c r="AC8" s="39">
        <v>1</v>
      </c>
      <c r="AD8" s="39">
        <v>0</v>
      </c>
      <c r="AL8" s="2" t="str">
        <f>Apuesta!AR10</f>
        <v>Bélgica</v>
      </c>
      <c r="AM8" s="2" t="str">
        <f>Apuesta!AT10</f>
        <v>Alemania</v>
      </c>
      <c r="AN8" s="41">
        <v>0</v>
      </c>
    </row>
    <row r="9" spans="2:40" x14ac:dyDescent="0.3">
      <c r="C9" s="34"/>
      <c r="E9" s="34"/>
      <c r="AL9" s="2" t="str">
        <f>Apuesta!AR11</f>
        <v>Brasil</v>
      </c>
      <c r="AM9" s="2" t="str">
        <f>Apuesta!AT11</f>
        <v>Uruguay</v>
      </c>
      <c r="AN9" s="41">
        <v>0</v>
      </c>
    </row>
    <row r="10" spans="2:40" x14ac:dyDescent="0.3">
      <c r="C10" s="34"/>
      <c r="E10" s="34"/>
      <c r="AL10" s="2" t="str">
        <f>Apuesta!AR12</f>
        <v>Portugal</v>
      </c>
      <c r="AM10" s="2" t="str">
        <f>Apuesta!AT12</f>
        <v>Suiza</v>
      </c>
      <c r="AN10" s="41">
        <v>0</v>
      </c>
    </row>
    <row r="11" spans="2:40" x14ac:dyDescent="0.3">
      <c r="C11" s="34"/>
      <c r="E11" s="34"/>
      <c r="AN11" s="41">
        <f>SUM(AN3:AN10)</f>
        <v>0</v>
      </c>
    </row>
    <row r="12" spans="2:40" x14ac:dyDescent="0.3">
      <c r="B12" t="str">
        <f>Apuesta!G14</f>
        <v>Inglaterra</v>
      </c>
      <c r="C12" s="34" t="str">
        <f>IF(Apuesta!H14="","",Apuesta!H14)</f>
        <v/>
      </c>
      <c r="D12" t="e">
        <f>#REF!</f>
        <v>#REF!</v>
      </c>
      <c r="E12" s="34" t="str">
        <f>IF(Apuesta!J14="","",Apuesta!J14)</f>
        <v/>
      </c>
      <c r="F12" t="str">
        <f>Apuesta!K14</f>
        <v>Irán</v>
      </c>
      <c r="I12" s="72" t="s">
        <v>14</v>
      </c>
      <c r="J12" s="72"/>
      <c r="K12" s="72">
        <f t="shared" si="4"/>
        <v>0</v>
      </c>
      <c r="L12" s="72">
        <f>COUNTIF(X:Y,J12&amp;"_win")</f>
        <v>0</v>
      </c>
      <c r="M12" s="72">
        <f>COUNTIF(X:Y,J12&amp;"_draw")</f>
        <v>0</v>
      </c>
      <c r="N12" s="72">
        <f>COUNTIF(X:Y,J12&amp;"_lose")</f>
        <v>0</v>
      </c>
      <c r="O12" s="72">
        <f>SUMIF(B:B,J12,Z:Z)+SUMIF(F:F,J12,AA:AA)</f>
        <v>0</v>
      </c>
      <c r="P12" s="72">
        <f>SUMIF(B:B,J12,AA:AA)+SUMIF(F:F,J12,Z:Z)</f>
        <v>0</v>
      </c>
      <c r="Q12" s="72"/>
      <c r="R12" s="72">
        <f t="shared" si="5"/>
        <v>0</v>
      </c>
      <c r="S12" s="72"/>
      <c r="T12" s="72"/>
      <c r="U12" s="72"/>
      <c r="V12" s="72"/>
      <c r="X12" t="str">
        <f t="shared" ref="X12:X17" si="6">B12 &amp; IF(OR(C12="",E12=""),"",IF(C12&gt;E12,"_win",IF(C12&lt;E12,"_lose","_draw")))</f>
        <v>Inglaterra</v>
      </c>
      <c r="Y12" t="str">
        <f t="shared" ref="Y12:Y17" si="7">F12 &amp; IF(OR(C12="",E12=""),"",IF(C12&lt;E12,"_win",IF(C12&gt;E12,"_lose","_draw")))</f>
        <v>Irán</v>
      </c>
      <c r="Z12">
        <f t="shared" ref="Z12:Z17" si="8">IF(OR(C12="",E12=""),0,C12)</f>
        <v>0</v>
      </c>
      <c r="AA12">
        <f t="shared" ref="AA12:AA17" si="9">IF(OR(C12="",E12=""),0,E12)</f>
        <v>0</v>
      </c>
      <c r="AB12" s="39">
        <v>0</v>
      </c>
      <c r="AC12" s="39">
        <v>0</v>
      </c>
      <c r="AG12" t="str">
        <f>J14</f>
        <v>Inglaterra</v>
      </c>
      <c r="AH12" t="str">
        <f>J15</f>
        <v>Irán</v>
      </c>
      <c r="AI12" t="str">
        <f>J16</f>
        <v>EEUU</v>
      </c>
      <c r="AJ12" t="str">
        <f>J17</f>
        <v>Gales</v>
      </c>
    </row>
    <row r="13" spans="2:40" x14ac:dyDescent="0.3">
      <c r="B13" t="str">
        <f>Apuesta!G15</f>
        <v>EEUU</v>
      </c>
      <c r="C13" s="34" t="str">
        <f>IF(Apuesta!H15="","",Apuesta!H15)</f>
        <v/>
      </c>
      <c r="D13" t="e">
        <f>#REF!</f>
        <v>#REF!</v>
      </c>
      <c r="E13" s="34" t="str">
        <f>IF(Apuesta!J15="","",Apuesta!J15)</f>
        <v/>
      </c>
      <c r="F13" t="str">
        <f>Apuesta!K15</f>
        <v>Gales</v>
      </c>
      <c r="I13" s="35" t="s">
        <v>21</v>
      </c>
      <c r="J13" s="35" t="s">
        <v>4</v>
      </c>
      <c r="K13" s="35" t="s">
        <v>43</v>
      </c>
      <c r="L13" s="35" t="s">
        <v>44</v>
      </c>
      <c r="M13" s="35" t="s">
        <v>45</v>
      </c>
      <c r="N13" s="35" t="s">
        <v>46</v>
      </c>
      <c r="O13" s="35" t="s">
        <v>0</v>
      </c>
      <c r="P13" s="35" t="s">
        <v>1</v>
      </c>
      <c r="Q13" s="35" t="s">
        <v>2</v>
      </c>
      <c r="R13" s="35" t="s">
        <v>41</v>
      </c>
      <c r="S13" s="35" t="s">
        <v>48</v>
      </c>
      <c r="T13" s="35" t="s">
        <v>49</v>
      </c>
      <c r="U13" s="35" t="s">
        <v>47</v>
      </c>
      <c r="V13" s="35" t="s">
        <v>50</v>
      </c>
      <c r="X13" t="str">
        <f t="shared" si="6"/>
        <v>EEUU</v>
      </c>
      <c r="Y13" t="str">
        <f t="shared" si="7"/>
        <v>Gales</v>
      </c>
      <c r="Z13">
        <f t="shared" si="8"/>
        <v>0</v>
      </c>
      <c r="AA13">
        <f t="shared" si="9"/>
        <v>0</v>
      </c>
      <c r="AB13" s="39">
        <v>0</v>
      </c>
      <c r="AC13" s="39">
        <v>0</v>
      </c>
      <c r="AF13" t="str">
        <f>J14</f>
        <v>Inglaterra</v>
      </c>
      <c r="AG13" s="36"/>
      <c r="AH13">
        <f>IF(Z12&gt;AA12,2,IF(Z12=AA12,1,0))</f>
        <v>1</v>
      </c>
      <c r="AI13">
        <f>IF(Z14&gt;AA14,2,IF(Z14=AA14,1,0))</f>
        <v>1</v>
      </c>
      <c r="AJ13">
        <f>IF(Z16&gt;AA16,0,IF(Z16=AA16,1,2))</f>
        <v>1</v>
      </c>
      <c r="AL13" s="76" t="s">
        <v>53</v>
      </c>
      <c r="AM13" s="73"/>
    </row>
    <row r="14" spans="2:40" x14ac:dyDescent="0.3">
      <c r="B14" s="37" t="str">
        <f>Apuesta!G16</f>
        <v>Inglaterra</v>
      </c>
      <c r="C14" s="38" t="str">
        <f>IF(Apuesta!H16="","",Apuesta!H16)</f>
        <v/>
      </c>
      <c r="D14" s="37" t="e">
        <f>#REF!</f>
        <v>#REF!</v>
      </c>
      <c r="E14" s="38" t="str">
        <f>IF(Apuesta!J16="","",Apuesta!J16)</f>
        <v/>
      </c>
      <c r="F14" s="37" t="str">
        <f>Apuesta!K16</f>
        <v>EEUU</v>
      </c>
      <c r="I14">
        <f>RANK(V14,V$14:V$17,0)</f>
        <v>1</v>
      </c>
      <c r="J14" t="str">
        <f>Apuesta!E15</f>
        <v>Inglaterra</v>
      </c>
      <c r="K14">
        <f t="shared" si="4"/>
        <v>0</v>
      </c>
      <c r="L14">
        <f>COUNTIF(X:Y,J14&amp;"_win")</f>
        <v>0</v>
      </c>
      <c r="M14">
        <f>COUNTIF(X:Y,J14&amp;"_draw")</f>
        <v>0</v>
      </c>
      <c r="N14">
        <f>COUNTIF(X:Y,J14&amp;"_lose")</f>
        <v>0</v>
      </c>
      <c r="O14">
        <f>SUMIF(B:B,J14,Z:Z)+SUMIF(F:F,J14,AA:AA)</f>
        <v>0</v>
      </c>
      <c r="P14">
        <f>SUMIF(B:B,J14,AA:AA)+SUMIF(F:F,J14,Z:Z)</f>
        <v>0</v>
      </c>
      <c r="Q14">
        <f>O14-P14</f>
        <v>0</v>
      </c>
      <c r="R14">
        <f t="shared" si="5"/>
        <v>0</v>
      </c>
      <c r="S14">
        <v>5</v>
      </c>
      <c r="T14">
        <f>RANK(O14,O$14:O$17,1)</f>
        <v>1</v>
      </c>
      <c r="U14">
        <f>RANK(Q14,Q$14:Q$17,1)</f>
        <v>1</v>
      </c>
      <c r="V14">
        <f>R14*1000000+U14*100000+T14*10000-S14</f>
        <v>109995</v>
      </c>
      <c r="X14" t="str">
        <f t="shared" si="6"/>
        <v>Inglaterra</v>
      </c>
      <c r="Y14" t="str">
        <f t="shared" si="7"/>
        <v>EEUU</v>
      </c>
      <c r="Z14">
        <f t="shared" si="8"/>
        <v>0</v>
      </c>
      <c r="AA14">
        <f t="shared" si="9"/>
        <v>0</v>
      </c>
      <c r="AB14" s="39">
        <v>0</v>
      </c>
      <c r="AC14" s="39">
        <v>0</v>
      </c>
      <c r="AD14" s="39">
        <v>0</v>
      </c>
      <c r="AF14" t="str">
        <f>J15</f>
        <v>Irán</v>
      </c>
      <c r="AG14">
        <f>2-AH13</f>
        <v>1</v>
      </c>
      <c r="AH14" s="36"/>
      <c r="AI14">
        <f>IF(Z17&gt;AA17,2,IF(Z17=AA17,1,0))</f>
        <v>1</v>
      </c>
      <c r="AJ14">
        <f>IF(Z15&gt;AA15,0,IF(Z15=AA15,1,2))</f>
        <v>1</v>
      </c>
      <c r="AL14" s="2" t="str">
        <f>Apuesta!AR16</f>
        <v/>
      </c>
      <c r="AM14" s="2" t="str">
        <f>Apuesta!AT16</f>
        <v/>
      </c>
      <c r="AN14" s="41">
        <v>0</v>
      </c>
    </row>
    <row r="15" spans="2:40" x14ac:dyDescent="0.3">
      <c r="B15" s="37" t="str">
        <f>Apuesta!G17</f>
        <v>Gales</v>
      </c>
      <c r="C15" s="38" t="str">
        <f>IF(Apuesta!H17="","",Apuesta!H17)</f>
        <v/>
      </c>
      <c r="D15" s="37" t="e">
        <f>#REF!</f>
        <v>#REF!</v>
      </c>
      <c r="E15" s="38" t="str">
        <f>IF(Apuesta!J17="","",Apuesta!J17)</f>
        <v/>
      </c>
      <c r="F15" s="37" t="str">
        <f>Apuesta!K17</f>
        <v>Irán</v>
      </c>
      <c r="I15">
        <f>RANK(V15,V$14:V$17,0)</f>
        <v>4</v>
      </c>
      <c r="J15" t="str">
        <f>Apuesta!E16</f>
        <v>Irán</v>
      </c>
      <c r="K15">
        <f t="shared" si="4"/>
        <v>0</v>
      </c>
      <c r="L15">
        <f>COUNTIF(X:Y,J15&amp;"_win")</f>
        <v>0</v>
      </c>
      <c r="M15">
        <f>COUNTIF(X:Y,J15&amp;"_draw")</f>
        <v>0</v>
      </c>
      <c r="N15">
        <f>COUNTIF(X:Y,J15&amp;"_lose")</f>
        <v>0</v>
      </c>
      <c r="O15">
        <f>SUMIF(B:B,J15,Z:Z)+SUMIF(F:F,J15,AA:AA)</f>
        <v>0</v>
      </c>
      <c r="P15">
        <f>SUMIF(B:B,J15,AA:AA)+SUMIF(F:F,J15,Z:Z)</f>
        <v>0</v>
      </c>
      <c r="Q15">
        <f>O15-P15</f>
        <v>0</v>
      </c>
      <c r="R15">
        <f t="shared" si="5"/>
        <v>0</v>
      </c>
      <c r="S15">
        <v>20</v>
      </c>
      <c r="T15">
        <f>RANK(O15,O$14:O$17,1)</f>
        <v>1</v>
      </c>
      <c r="U15">
        <f>RANK(Q15,Q$14:Q$17,1)</f>
        <v>1</v>
      </c>
      <c r="V15">
        <f>R15*1000000+U15*100000+T15*10000-S15</f>
        <v>109980</v>
      </c>
      <c r="X15" t="str">
        <f t="shared" si="6"/>
        <v>Gales</v>
      </c>
      <c r="Y15" t="str">
        <f t="shared" si="7"/>
        <v>Irán</v>
      </c>
      <c r="Z15">
        <f t="shared" si="8"/>
        <v>0</v>
      </c>
      <c r="AA15">
        <f t="shared" si="9"/>
        <v>0</v>
      </c>
      <c r="AB15" s="39">
        <v>3</v>
      </c>
      <c r="AC15" s="39">
        <v>1</v>
      </c>
      <c r="AD15" s="39">
        <v>0</v>
      </c>
      <c r="AF15" t="str">
        <f>J16</f>
        <v>EEUU</v>
      </c>
      <c r="AG15">
        <f>2-AI13</f>
        <v>1</v>
      </c>
      <c r="AH15">
        <f>2-AI14</f>
        <v>1</v>
      </c>
      <c r="AI15" s="36"/>
      <c r="AJ15">
        <f>IF(Z13&gt;AA13,2,IF(Z13=AA13,1,0))</f>
        <v>1</v>
      </c>
      <c r="AL15" s="2" t="str">
        <f>Apuesta!AR17</f>
        <v/>
      </c>
      <c r="AM15" s="2" t="str">
        <f>Apuesta!AT17</f>
        <v/>
      </c>
      <c r="AN15" s="41">
        <v>0</v>
      </c>
    </row>
    <row r="16" spans="2:40" x14ac:dyDescent="0.3">
      <c r="B16" t="str">
        <f>Apuesta!G18</f>
        <v>Gales</v>
      </c>
      <c r="C16" s="34" t="str">
        <f>IF(Apuesta!H18="","",Apuesta!H18)</f>
        <v/>
      </c>
      <c r="D16" t="e">
        <f>#REF!</f>
        <v>#REF!</v>
      </c>
      <c r="E16" s="34" t="str">
        <f>IF(Apuesta!J18="","",Apuesta!J18)</f>
        <v/>
      </c>
      <c r="F16" t="str">
        <f>Apuesta!K18</f>
        <v>Inglaterra</v>
      </c>
      <c r="I16">
        <f>RANK(V16,V$14:V$17,0)</f>
        <v>2</v>
      </c>
      <c r="J16" t="str">
        <f>Apuesta!E17</f>
        <v>EEUU</v>
      </c>
      <c r="K16">
        <f t="shared" si="4"/>
        <v>0</v>
      </c>
      <c r="L16">
        <f>COUNTIF(X:Y,J16&amp;"_win")</f>
        <v>0</v>
      </c>
      <c r="M16">
        <f>COUNTIF(X:Y,J16&amp;"_draw")</f>
        <v>0</v>
      </c>
      <c r="N16">
        <f>COUNTIF(X:Y,J16&amp;"_lose")</f>
        <v>0</v>
      </c>
      <c r="O16">
        <f>SUMIF(B:B,J16,Z:Z)+SUMIF(F:F,J16,AA:AA)</f>
        <v>0</v>
      </c>
      <c r="P16">
        <f>SUMIF(B:B,J16,AA:AA)+SUMIF(F:F,J16,Z:Z)</f>
        <v>0</v>
      </c>
      <c r="Q16">
        <f>O16-P16</f>
        <v>0</v>
      </c>
      <c r="R16">
        <f t="shared" si="5"/>
        <v>0</v>
      </c>
      <c r="S16">
        <v>16</v>
      </c>
      <c r="T16">
        <f>RANK(O16,O$14:O$17,1)</f>
        <v>1</v>
      </c>
      <c r="U16">
        <f>RANK(Q16,Q$14:Q$17,1)</f>
        <v>1</v>
      </c>
      <c r="V16">
        <f>R16*1000000+U16*100000+T16*10000-S16</f>
        <v>109984</v>
      </c>
      <c r="X16" t="str">
        <f t="shared" si="6"/>
        <v>Gales</v>
      </c>
      <c r="Y16" t="str">
        <f t="shared" si="7"/>
        <v>Inglaterra</v>
      </c>
      <c r="Z16">
        <f t="shared" si="8"/>
        <v>0</v>
      </c>
      <c r="AA16">
        <f t="shared" si="9"/>
        <v>0</v>
      </c>
      <c r="AB16" s="39">
        <v>0</v>
      </c>
      <c r="AC16" s="39">
        <v>0</v>
      </c>
      <c r="AD16" s="39">
        <v>0</v>
      </c>
      <c r="AF16" t="str">
        <f>J17</f>
        <v>Gales</v>
      </c>
      <c r="AG16">
        <f>2-AJ13</f>
        <v>1</v>
      </c>
      <c r="AH16">
        <f>2-AJ14</f>
        <v>1</v>
      </c>
      <c r="AI16">
        <f>2-AJ15</f>
        <v>1</v>
      </c>
      <c r="AJ16" s="36"/>
      <c r="AL16" s="2" t="str">
        <f>Apuesta!AR18</f>
        <v/>
      </c>
      <c r="AM16" s="2" t="str">
        <f>Apuesta!AT18</f>
        <v/>
      </c>
      <c r="AN16" s="41">
        <v>0</v>
      </c>
    </row>
    <row r="17" spans="2:40" x14ac:dyDescent="0.3">
      <c r="B17" t="str">
        <f>Apuesta!G19</f>
        <v>Irán</v>
      </c>
      <c r="C17" s="34" t="str">
        <f>IF(Apuesta!H19="","",Apuesta!H19)</f>
        <v/>
      </c>
      <c r="D17" t="e">
        <f>#REF!</f>
        <v>#REF!</v>
      </c>
      <c r="E17" s="34" t="str">
        <f>IF(Apuesta!J19="","",Apuesta!J19)</f>
        <v/>
      </c>
      <c r="F17" t="str">
        <f>Apuesta!K19</f>
        <v>EEUU</v>
      </c>
      <c r="I17">
        <f>RANK(V17,V$14:V$17,0)</f>
        <v>3</v>
      </c>
      <c r="J17" t="str">
        <f>Apuesta!E18</f>
        <v>Gales</v>
      </c>
      <c r="K17">
        <f t="shared" si="4"/>
        <v>0</v>
      </c>
      <c r="L17">
        <f>COUNTIF(X:Y,J17&amp;"_win")</f>
        <v>0</v>
      </c>
      <c r="M17">
        <f>COUNTIF(X:Y,J17&amp;"_draw")</f>
        <v>0</v>
      </c>
      <c r="N17">
        <f>COUNTIF(X:Y,J17&amp;"_lose")</f>
        <v>0</v>
      </c>
      <c r="O17">
        <f>SUMIF(B:B,J17,Z:Z)+SUMIF(F:F,J17,AA:AA)</f>
        <v>0</v>
      </c>
      <c r="P17">
        <f>SUMIF(B:B,J17,AA:AA)+SUMIF(F:F,J17,Z:Z)</f>
        <v>0</v>
      </c>
      <c r="Q17">
        <f>O17-P17</f>
        <v>0</v>
      </c>
      <c r="R17">
        <f t="shared" si="5"/>
        <v>0</v>
      </c>
      <c r="S17">
        <v>19</v>
      </c>
      <c r="T17">
        <f>RANK(O17,O$14:O$17,1)</f>
        <v>1</v>
      </c>
      <c r="U17">
        <f>RANK(Q17,Q$14:Q$17,1)</f>
        <v>1</v>
      </c>
      <c r="V17">
        <f>R17*1000000+U17*100000+T17*10000-S17</f>
        <v>109981</v>
      </c>
      <c r="X17" t="str">
        <f t="shared" si="6"/>
        <v>Irán</v>
      </c>
      <c r="Y17" t="str">
        <f t="shared" si="7"/>
        <v>EEUU</v>
      </c>
      <c r="Z17">
        <f t="shared" si="8"/>
        <v>0</v>
      </c>
      <c r="AA17">
        <f t="shared" si="9"/>
        <v>0</v>
      </c>
      <c r="AB17" s="39">
        <v>3</v>
      </c>
      <c r="AC17" s="39">
        <v>1</v>
      </c>
      <c r="AD17" s="39">
        <v>0</v>
      </c>
      <c r="AL17" s="2" t="str">
        <f>Apuesta!AR19</f>
        <v/>
      </c>
      <c r="AM17" s="2" t="str">
        <f>Apuesta!AT19</f>
        <v/>
      </c>
      <c r="AN17" s="41">
        <v>0</v>
      </c>
    </row>
    <row r="18" spans="2:40" x14ac:dyDescent="0.3">
      <c r="C18" s="34"/>
      <c r="E18" s="34"/>
      <c r="AN18" s="41">
        <f>SUM(AN14:AN17)</f>
        <v>0</v>
      </c>
    </row>
    <row r="19" spans="2:40" x14ac:dyDescent="0.3">
      <c r="C19" s="34"/>
      <c r="E19" s="34"/>
      <c r="AL19" s="73" t="s">
        <v>54</v>
      </c>
      <c r="AM19" s="73"/>
    </row>
    <row r="20" spans="2:40" x14ac:dyDescent="0.3">
      <c r="C20" s="34"/>
      <c r="E20" s="34"/>
      <c r="AL20" s="2" t="str">
        <f>Apuesta!AR23</f>
        <v/>
      </c>
      <c r="AM20" s="2" t="str">
        <f>Apuesta!AT23</f>
        <v/>
      </c>
      <c r="AN20" s="41">
        <v>0</v>
      </c>
    </row>
    <row r="21" spans="2:40" x14ac:dyDescent="0.3">
      <c r="B21" t="str">
        <f>Apuesta!G23</f>
        <v>Argentina</v>
      </c>
      <c r="C21" s="34" t="str">
        <f>IF(Apuesta!H23="","",Apuesta!H23)</f>
        <v/>
      </c>
      <c r="D21" t="e">
        <f>#REF!</f>
        <v>#REF!</v>
      </c>
      <c r="E21" s="34" t="str">
        <f>IF(Apuesta!J23="","",Apuesta!J23)</f>
        <v/>
      </c>
      <c r="F21" t="str">
        <f>Apuesta!K23</f>
        <v>Arabia Saudí</v>
      </c>
      <c r="I21" s="72" t="s">
        <v>15</v>
      </c>
      <c r="J21" s="72"/>
      <c r="K21" s="72">
        <f t="shared" si="4"/>
        <v>0</v>
      </c>
      <c r="L21" s="72">
        <f>COUNTIF(X:Y,J21&amp;"_win")</f>
        <v>0</v>
      </c>
      <c r="M21" s="72">
        <f>COUNTIF(X:Y,J21&amp;"_draw")</f>
        <v>0</v>
      </c>
      <c r="N21" s="72">
        <f>COUNTIF(X:Y,J21&amp;"_lose")</f>
        <v>0</v>
      </c>
      <c r="O21" s="72">
        <f>SUMIF(B:B,J21,Z:Z)+SUMIF(F:F,J21,AA:AA)</f>
        <v>0</v>
      </c>
      <c r="P21" s="72">
        <f>SUMIF(B:B,J21,AA:AA)+SUMIF(F:F,J21,Z:Z)</f>
        <v>0</v>
      </c>
      <c r="Q21" s="72"/>
      <c r="R21" s="72">
        <f t="shared" si="5"/>
        <v>0</v>
      </c>
      <c r="S21" s="72"/>
      <c r="T21" s="72"/>
      <c r="U21" s="72"/>
      <c r="V21" s="72"/>
      <c r="X21" t="str">
        <f t="shared" ref="X21:X26" si="10">B21 &amp; IF(OR(C21="",E21=""),"",IF(C21&gt;E21,"_win",IF(C21&lt;E21,"_lose","_draw")))</f>
        <v>Argentina</v>
      </c>
      <c r="Y21" t="str">
        <f t="shared" ref="Y21:Y26" si="11">F21 &amp; IF(OR(C21="",E21=""),"",IF(C21&lt;E21,"_win",IF(C21&gt;E21,"_lose","_draw")))</f>
        <v>Arabia Saudí</v>
      </c>
      <c r="Z21">
        <f t="shared" ref="Z21:Z26" si="12">IF(OR(C21="",E21=""),0,C21)</f>
        <v>0</v>
      </c>
      <c r="AA21">
        <f t="shared" ref="AA21:AA26" si="13">IF(OR(C21="",E21=""),0,E21)</f>
        <v>0</v>
      </c>
      <c r="AB21" s="39">
        <v>0</v>
      </c>
      <c r="AC21" s="39">
        <v>0</v>
      </c>
      <c r="AG21" t="str">
        <f>J23</f>
        <v>Argentina</v>
      </c>
      <c r="AH21" t="str">
        <f>J24</f>
        <v>Arabia Saudí</v>
      </c>
      <c r="AI21" t="str">
        <f>J25</f>
        <v>México</v>
      </c>
      <c r="AJ21" t="str">
        <f>J26</f>
        <v>Polonia</v>
      </c>
      <c r="AL21" s="2" t="str">
        <f>Apuesta!AR24</f>
        <v/>
      </c>
      <c r="AM21" s="2" t="str">
        <f>Apuesta!AT24</f>
        <v/>
      </c>
      <c r="AN21" s="41">
        <v>0</v>
      </c>
    </row>
    <row r="22" spans="2:40" x14ac:dyDescent="0.3">
      <c r="B22" t="str">
        <f>Apuesta!G24</f>
        <v>México</v>
      </c>
      <c r="C22" s="34" t="str">
        <f>IF(Apuesta!H24="","",Apuesta!H24)</f>
        <v/>
      </c>
      <c r="D22" t="e">
        <f>#REF!</f>
        <v>#REF!</v>
      </c>
      <c r="E22" s="34" t="str">
        <f>IF(Apuesta!J24="","",Apuesta!J24)</f>
        <v/>
      </c>
      <c r="F22" t="str">
        <f>Apuesta!K24</f>
        <v>Polonia</v>
      </c>
      <c r="I22" s="35" t="s">
        <v>21</v>
      </c>
      <c r="J22" s="35" t="s">
        <v>4</v>
      </c>
      <c r="K22" s="35" t="s">
        <v>43</v>
      </c>
      <c r="L22" s="35" t="s">
        <v>44</v>
      </c>
      <c r="M22" s="35" t="s">
        <v>45</v>
      </c>
      <c r="N22" s="35" t="s">
        <v>46</v>
      </c>
      <c r="O22" s="35" t="s">
        <v>0</v>
      </c>
      <c r="P22" s="35" t="s">
        <v>1</v>
      </c>
      <c r="Q22" s="35" t="s">
        <v>2</v>
      </c>
      <c r="R22" s="35" t="s">
        <v>41</v>
      </c>
      <c r="S22" s="35" t="s">
        <v>48</v>
      </c>
      <c r="T22" s="35" t="s">
        <v>49</v>
      </c>
      <c r="U22" s="35" t="s">
        <v>47</v>
      </c>
      <c r="V22" s="35" t="s">
        <v>50</v>
      </c>
      <c r="X22" t="str">
        <f t="shared" si="10"/>
        <v>México</v>
      </c>
      <c r="Y22" t="str">
        <f t="shared" si="11"/>
        <v>Polonia</v>
      </c>
      <c r="Z22">
        <f t="shared" si="12"/>
        <v>0</v>
      </c>
      <c r="AA22">
        <f t="shared" si="13"/>
        <v>0</v>
      </c>
      <c r="AB22" s="39">
        <v>0</v>
      </c>
      <c r="AC22" s="39">
        <v>0</v>
      </c>
      <c r="AF22" t="str">
        <f>J23</f>
        <v>Argentina</v>
      </c>
      <c r="AG22" s="36"/>
      <c r="AH22">
        <f>IF(Z21&gt;AA21,2,IF(Z21=AA21,1,0))</f>
        <v>1</v>
      </c>
      <c r="AI22">
        <f>IF(Z23&gt;AA23,2,IF(Z23=AA23,1,0))</f>
        <v>1</v>
      </c>
      <c r="AJ22">
        <f>IF(Z25&gt;AA25,0,IF(Z25=AA25,1,2))</f>
        <v>1</v>
      </c>
      <c r="AN22" s="41">
        <f>SUM(AN20:AN21)</f>
        <v>0</v>
      </c>
    </row>
    <row r="23" spans="2:40" x14ac:dyDescent="0.3">
      <c r="B23" s="37" t="str">
        <f>Apuesta!G25</f>
        <v>Argentina</v>
      </c>
      <c r="C23" s="38" t="str">
        <f>IF(Apuesta!H25="","",Apuesta!H25)</f>
        <v/>
      </c>
      <c r="D23" s="37" t="e">
        <f>#REF!</f>
        <v>#REF!</v>
      </c>
      <c r="E23" s="38" t="str">
        <f>IF(Apuesta!J25="","",Apuesta!J25)</f>
        <v/>
      </c>
      <c r="F23" s="37" t="str">
        <f>Apuesta!K25</f>
        <v>México</v>
      </c>
      <c r="I23">
        <f>RANK(V23,V$23:V$26,0)</f>
        <v>1</v>
      </c>
      <c r="J23" t="str">
        <f>Apuesta!E24</f>
        <v>Argentina</v>
      </c>
      <c r="K23">
        <f t="shared" si="4"/>
        <v>0</v>
      </c>
      <c r="L23">
        <f>COUNTIF(X:Y,J23&amp;"_win")</f>
        <v>0</v>
      </c>
      <c r="M23">
        <f>COUNTIF(X:Y,J23&amp;"_draw")</f>
        <v>0</v>
      </c>
      <c r="N23">
        <f>COUNTIF(X:Y,J23&amp;"_lose")</f>
        <v>0</v>
      </c>
      <c r="O23">
        <f>SUMIF(B:B,J23,Z:Z)+SUMIF(F:F,J23,AA:AA)</f>
        <v>0</v>
      </c>
      <c r="P23">
        <f>SUMIF(B:B,J23,AA:AA)+SUMIF(F:F,J23,Z:Z)</f>
        <v>0</v>
      </c>
      <c r="Q23">
        <f>O23-P23</f>
        <v>0</v>
      </c>
      <c r="R23">
        <f t="shared" si="5"/>
        <v>0</v>
      </c>
      <c r="S23">
        <v>3</v>
      </c>
      <c r="T23">
        <f>RANK(O23,O$23:O$26,1)</f>
        <v>1</v>
      </c>
      <c r="U23">
        <f>RANK(Q23,Q$23:Q$26,1)</f>
        <v>1</v>
      </c>
      <c r="V23">
        <f>R23*1000000+U23*100000+T23*10000-S23</f>
        <v>109997</v>
      </c>
      <c r="X23" t="str">
        <f t="shared" si="10"/>
        <v>Argentina</v>
      </c>
      <c r="Y23" t="str">
        <f t="shared" si="11"/>
        <v>México</v>
      </c>
      <c r="Z23">
        <f t="shared" si="12"/>
        <v>0</v>
      </c>
      <c r="AA23">
        <f t="shared" si="13"/>
        <v>0</v>
      </c>
      <c r="AB23" s="39">
        <v>0</v>
      </c>
      <c r="AC23" s="39">
        <v>0</v>
      </c>
      <c r="AD23" s="39">
        <v>0</v>
      </c>
      <c r="AF23" t="str">
        <f>J24</f>
        <v>Arabia Saudí</v>
      </c>
      <c r="AG23">
        <f>2-AH22</f>
        <v>1</v>
      </c>
      <c r="AH23" s="36"/>
      <c r="AI23">
        <f>IF(Z26&gt;AA26,2,IF(Z26=AA26,1,0))</f>
        <v>1</v>
      </c>
      <c r="AJ23">
        <f>IF(Z24&gt;AA24,0,IF(Z24=AA24,1,2))</f>
        <v>1</v>
      </c>
      <c r="AL23" s="73" t="s">
        <v>55</v>
      </c>
      <c r="AM23" s="73"/>
    </row>
    <row r="24" spans="2:40" x14ac:dyDescent="0.3">
      <c r="B24" s="37" t="str">
        <f>Apuesta!G26</f>
        <v>Polonia</v>
      </c>
      <c r="C24" s="38" t="str">
        <f>IF(Apuesta!H26="","",Apuesta!H26)</f>
        <v/>
      </c>
      <c r="D24" s="37" t="e">
        <f>#REF!</f>
        <v>#REF!</v>
      </c>
      <c r="E24" s="38" t="str">
        <f>IF(Apuesta!J26="","",Apuesta!J26)</f>
        <v/>
      </c>
      <c r="F24" s="37" t="str">
        <f>Apuesta!K26</f>
        <v>Arabia Saudí</v>
      </c>
      <c r="I24">
        <f>RANK(V24,V$23:V$26,0)</f>
        <v>4</v>
      </c>
      <c r="J24" t="str">
        <f>Apuesta!E25</f>
        <v>Arabia Saudí</v>
      </c>
      <c r="K24">
        <f t="shared" si="4"/>
        <v>0</v>
      </c>
      <c r="L24">
        <f>COUNTIF(X:Y,J24&amp;"_win")</f>
        <v>0</v>
      </c>
      <c r="M24">
        <f>COUNTIF(X:Y,J24&amp;"_draw")</f>
        <v>0</v>
      </c>
      <c r="N24">
        <f>COUNTIF(X:Y,J24&amp;"_lose")</f>
        <v>0</v>
      </c>
      <c r="O24">
        <f>SUMIF(B:B,J24,Z:Z)+SUMIF(F:F,J24,AA:AA)</f>
        <v>0</v>
      </c>
      <c r="P24">
        <f>SUMIF(B:B,J24,AA:AA)+SUMIF(F:F,J24,Z:Z)</f>
        <v>0</v>
      </c>
      <c r="Q24">
        <f>O24-P24</f>
        <v>0</v>
      </c>
      <c r="R24">
        <f t="shared" si="5"/>
        <v>0</v>
      </c>
      <c r="S24">
        <v>51</v>
      </c>
      <c r="T24">
        <f>RANK(O24,O$23:O$26,1)</f>
        <v>1</v>
      </c>
      <c r="U24">
        <f>RANK(Q24,Q$23:Q$26,1)</f>
        <v>1</v>
      </c>
      <c r="V24">
        <f>R24*1000000+U24*100000+T24*10000-S24</f>
        <v>109949</v>
      </c>
      <c r="X24" t="str">
        <f t="shared" si="10"/>
        <v>Polonia</v>
      </c>
      <c r="Y24" t="str">
        <f t="shared" si="11"/>
        <v>Arabia Saudí</v>
      </c>
      <c r="Z24">
        <f t="shared" si="12"/>
        <v>0</v>
      </c>
      <c r="AA24">
        <f t="shared" si="13"/>
        <v>0</v>
      </c>
      <c r="AB24" s="39">
        <v>3</v>
      </c>
      <c r="AC24" s="39">
        <v>1</v>
      </c>
      <c r="AD24" s="39">
        <v>0</v>
      </c>
      <c r="AF24" t="str">
        <f>J25</f>
        <v>México</v>
      </c>
      <c r="AG24">
        <f>2-AI22</f>
        <v>1</v>
      </c>
      <c r="AH24">
        <f>2-AI23</f>
        <v>1</v>
      </c>
      <c r="AI24" s="36"/>
      <c r="AJ24">
        <f>IF(Z22&gt;AA22,2,IF(Z22=AA22,1,0))</f>
        <v>1</v>
      </c>
      <c r="AL24" s="2" t="str">
        <f>Apuesta!AR28</f>
        <v/>
      </c>
      <c r="AM24" s="2" t="str">
        <f>Apuesta!AT28</f>
        <v/>
      </c>
    </row>
    <row r="25" spans="2:40" x14ac:dyDescent="0.3">
      <c r="B25" t="str">
        <f>Apuesta!G27</f>
        <v>Polonia</v>
      </c>
      <c r="C25" s="34" t="str">
        <f>IF(Apuesta!H27="","",Apuesta!H27)</f>
        <v/>
      </c>
      <c r="D25" t="e">
        <f>#REF!</f>
        <v>#REF!</v>
      </c>
      <c r="E25" s="34" t="str">
        <f>IF(Apuesta!J27="","",Apuesta!J27)</f>
        <v/>
      </c>
      <c r="F25" t="str">
        <f>Apuesta!K27</f>
        <v>Argentina</v>
      </c>
      <c r="I25">
        <f>RANK(V25,V$23:V$26,0)</f>
        <v>2</v>
      </c>
      <c r="J25" t="str">
        <f>Apuesta!E26</f>
        <v>México</v>
      </c>
      <c r="K25">
        <f t="shared" si="4"/>
        <v>0</v>
      </c>
      <c r="L25">
        <f>COUNTIF(X:Y,J25&amp;"_win")</f>
        <v>0</v>
      </c>
      <c r="M25">
        <f>COUNTIF(X:Y,J25&amp;"_draw")</f>
        <v>0</v>
      </c>
      <c r="N25">
        <f>COUNTIF(X:Y,J25&amp;"_lose")</f>
        <v>0</v>
      </c>
      <c r="O25">
        <f>SUMIF(B:B,J25,Z:Z)+SUMIF(F:F,J25,AA:AA)</f>
        <v>0</v>
      </c>
      <c r="P25">
        <f>SUMIF(B:B,J25,AA:AA)+SUMIF(F:F,J25,Z:Z)</f>
        <v>0</v>
      </c>
      <c r="Q25">
        <f>O25-P25</f>
        <v>0</v>
      </c>
      <c r="R25">
        <f t="shared" si="5"/>
        <v>0</v>
      </c>
      <c r="S25">
        <v>13</v>
      </c>
      <c r="T25">
        <f>RANK(O25,O$23:O$26,1)</f>
        <v>1</v>
      </c>
      <c r="U25">
        <f>RANK(Q25,Q$23:Q$26,1)</f>
        <v>1</v>
      </c>
      <c r="V25">
        <f>R25*1000000+U25*100000+T25*10000-S25</f>
        <v>109987</v>
      </c>
      <c r="X25" t="str">
        <f t="shared" si="10"/>
        <v>Polonia</v>
      </c>
      <c r="Y25" t="str">
        <f t="shared" si="11"/>
        <v>Argentina</v>
      </c>
      <c r="Z25">
        <f t="shared" si="12"/>
        <v>0</v>
      </c>
      <c r="AA25">
        <f t="shared" si="13"/>
        <v>0</v>
      </c>
      <c r="AB25" s="39">
        <v>0</v>
      </c>
      <c r="AC25" s="39">
        <v>0</v>
      </c>
      <c r="AD25" s="39">
        <v>0</v>
      </c>
      <c r="AF25" t="str">
        <f>J26</f>
        <v>Polonia</v>
      </c>
      <c r="AG25">
        <f>2-AJ22</f>
        <v>1</v>
      </c>
      <c r="AH25">
        <f>2-AJ23</f>
        <v>1</v>
      </c>
      <c r="AI25">
        <f>2-AJ24</f>
        <v>1</v>
      </c>
      <c r="AJ25" s="36"/>
    </row>
    <row r="26" spans="2:40" x14ac:dyDescent="0.3">
      <c r="B26" t="str">
        <f>Apuesta!G28</f>
        <v>Arabia Saudí</v>
      </c>
      <c r="C26" s="34" t="str">
        <f>IF(Apuesta!H28="","",Apuesta!H28)</f>
        <v/>
      </c>
      <c r="D26" t="e">
        <f>#REF!</f>
        <v>#REF!</v>
      </c>
      <c r="E26" s="34" t="str">
        <f>IF(Apuesta!J28="","",Apuesta!J28)</f>
        <v/>
      </c>
      <c r="F26" t="str">
        <f>Apuesta!K28</f>
        <v>México</v>
      </c>
      <c r="I26">
        <f>RANK(V26,V$23:V$26,0)</f>
        <v>3</v>
      </c>
      <c r="J26" t="str">
        <f>Apuesta!E27</f>
        <v>Polonia</v>
      </c>
      <c r="K26">
        <f t="shared" si="4"/>
        <v>0</v>
      </c>
      <c r="L26">
        <f>COUNTIF(X:Y,J26&amp;"_win")</f>
        <v>0</v>
      </c>
      <c r="M26">
        <f>COUNTIF(X:Y,J26&amp;"_draw")</f>
        <v>0</v>
      </c>
      <c r="N26">
        <f>COUNTIF(X:Y,J26&amp;"_lose")</f>
        <v>0</v>
      </c>
      <c r="O26">
        <f>SUMIF(B:B,J26,Z:Z)+SUMIF(F:F,J26,AA:AA)</f>
        <v>0</v>
      </c>
      <c r="P26">
        <f>SUMIF(B:B,J26,AA:AA)+SUMIF(F:F,J26,Z:Z)</f>
        <v>0</v>
      </c>
      <c r="Q26">
        <f>O26-P26</f>
        <v>0</v>
      </c>
      <c r="R26">
        <f t="shared" si="5"/>
        <v>0</v>
      </c>
      <c r="S26">
        <v>26</v>
      </c>
      <c r="T26">
        <f>RANK(O26,O$23:O$26,1)</f>
        <v>1</v>
      </c>
      <c r="U26">
        <f>RANK(Q26,Q$23:Q$26,1)</f>
        <v>1</v>
      </c>
      <c r="V26">
        <f>R26*1000000+U26*100000+T26*10000-S26</f>
        <v>109974</v>
      </c>
      <c r="X26" t="str">
        <f t="shared" si="10"/>
        <v>Arabia Saudí</v>
      </c>
      <c r="Y26" t="str">
        <f t="shared" si="11"/>
        <v>México</v>
      </c>
      <c r="Z26">
        <f t="shared" si="12"/>
        <v>0</v>
      </c>
      <c r="AA26">
        <f t="shared" si="13"/>
        <v>0</v>
      </c>
      <c r="AB26" s="39">
        <v>3</v>
      </c>
      <c r="AC26" s="39">
        <v>1</v>
      </c>
      <c r="AD26" s="39">
        <v>0</v>
      </c>
      <c r="AL26" s="73" t="s">
        <v>56</v>
      </c>
      <c r="AM26" s="73"/>
    </row>
    <row r="27" spans="2:40" x14ac:dyDescent="0.3">
      <c r="C27" s="34"/>
      <c r="E27" s="34"/>
      <c r="AL27" s="2" t="str">
        <f>Apuesta!AR32</f>
        <v/>
      </c>
      <c r="AM27" s="2" t="str">
        <f>Apuesta!AT32</f>
        <v/>
      </c>
      <c r="AN27" s="41">
        <v>0</v>
      </c>
    </row>
    <row r="28" spans="2:40" x14ac:dyDescent="0.3">
      <c r="C28" s="34"/>
      <c r="E28" s="34"/>
    </row>
    <row r="29" spans="2:40" x14ac:dyDescent="0.3">
      <c r="C29" s="34"/>
      <c r="E29" s="34"/>
      <c r="AL29" s="73" t="s">
        <v>89</v>
      </c>
      <c r="AM29" s="73"/>
    </row>
    <row r="30" spans="2:40" x14ac:dyDescent="0.3">
      <c r="B30" t="str">
        <f>Apuesta!G32</f>
        <v>Francia</v>
      </c>
      <c r="C30" s="34" t="str">
        <f>IF(Apuesta!H32="","",Apuesta!H32)</f>
        <v/>
      </c>
      <c r="D30" t="e">
        <f>#REF!</f>
        <v>#REF!</v>
      </c>
      <c r="E30" s="34" t="str">
        <f>IF(Apuesta!J32="","",Apuesta!J32)</f>
        <v/>
      </c>
      <c r="F30" t="str">
        <f>Apuesta!K32</f>
        <v>Australia</v>
      </c>
      <c r="I30" s="72" t="s">
        <v>16</v>
      </c>
      <c r="J30" s="72"/>
      <c r="K30" s="72">
        <f t="shared" si="4"/>
        <v>0</v>
      </c>
      <c r="L30" s="72">
        <f>COUNTIF(X:Y,J30&amp;"_win")</f>
        <v>0</v>
      </c>
      <c r="M30" s="72">
        <f>COUNTIF(X:Y,J30&amp;"_draw")</f>
        <v>0</v>
      </c>
      <c r="N30" s="72">
        <f>COUNTIF(X:Y,J30&amp;"_lose")</f>
        <v>0</v>
      </c>
      <c r="O30" s="72">
        <f>SUMIF(B:B,J30,Z:Z)+SUMIF(F:F,J30,AA:AA)</f>
        <v>0</v>
      </c>
      <c r="P30" s="72">
        <f>SUMIF(B:B,J30,AA:AA)+SUMIF(F:F,J30,Z:Z)</f>
        <v>0</v>
      </c>
      <c r="Q30" s="72"/>
      <c r="R30" s="72">
        <f t="shared" si="5"/>
        <v>0</v>
      </c>
      <c r="S30" s="72"/>
      <c r="T30" s="72"/>
      <c r="U30" s="72"/>
      <c r="V30" s="72"/>
      <c r="X30" t="str">
        <f t="shared" ref="X30:X36" si="14">B30 &amp; IF(OR(C30="",E30=""),"",IF(C30&gt;E30,"_win",IF(C30&lt;E30,"_lose","_draw")))</f>
        <v>Francia</v>
      </c>
      <c r="Y30" t="str">
        <f t="shared" ref="Y30:Y36" si="15">F30 &amp; IF(OR(C30="",E30=""),"",IF(C30&lt;E30,"_win",IF(C30&gt;E30,"_lose","_draw")))</f>
        <v>Australia</v>
      </c>
      <c r="Z30">
        <f t="shared" ref="Z30:Z35" si="16">IF(OR(C30="",E30=""),0,C30)</f>
        <v>0</v>
      </c>
      <c r="AA30">
        <f t="shared" ref="AA30:AA35" si="17">IF(OR(C30="",E30=""),0,E30)</f>
        <v>0</v>
      </c>
      <c r="AB30" s="39">
        <v>0</v>
      </c>
      <c r="AC30" s="39">
        <v>0</v>
      </c>
      <c r="AG30" t="str">
        <f>J32</f>
        <v>Francia</v>
      </c>
      <c r="AH30" t="str">
        <f>J33</f>
        <v>Australia</v>
      </c>
      <c r="AI30" t="str">
        <f>J34</f>
        <v>Dinamarca</v>
      </c>
      <c r="AJ30" t="str">
        <f>J35</f>
        <v>Túnez</v>
      </c>
      <c r="AL30" s="2"/>
      <c r="AM30" s="2" t="str">
        <f>IF(Apuesta!AU32="","",Apuesta!AU32)</f>
        <v/>
      </c>
      <c r="AN30" s="41">
        <v>0</v>
      </c>
    </row>
    <row r="31" spans="2:40" x14ac:dyDescent="0.3">
      <c r="B31" t="str">
        <f>Apuesta!G33</f>
        <v>Dinamarca</v>
      </c>
      <c r="C31" s="34" t="str">
        <f>IF(Apuesta!H33="","",Apuesta!H33)</f>
        <v/>
      </c>
      <c r="D31" t="e">
        <f>#REF!</f>
        <v>#REF!</v>
      </c>
      <c r="E31" s="34" t="str">
        <f>IF(Apuesta!J33="","",Apuesta!J33)</f>
        <v/>
      </c>
      <c r="F31" t="str">
        <f>Apuesta!K33</f>
        <v>Túnez</v>
      </c>
      <c r="I31" s="35" t="s">
        <v>21</v>
      </c>
      <c r="J31" s="35" t="s">
        <v>4</v>
      </c>
      <c r="K31" s="35" t="s">
        <v>43</v>
      </c>
      <c r="L31" s="35" t="s">
        <v>44</v>
      </c>
      <c r="M31" s="35" t="s">
        <v>45</v>
      </c>
      <c r="N31" s="35" t="s">
        <v>46</v>
      </c>
      <c r="O31" s="35" t="s">
        <v>0</v>
      </c>
      <c r="P31" s="35" t="s">
        <v>1</v>
      </c>
      <c r="Q31" s="35" t="s">
        <v>2</v>
      </c>
      <c r="R31" s="35" t="s">
        <v>41</v>
      </c>
      <c r="S31" s="35" t="s">
        <v>48</v>
      </c>
      <c r="T31" s="35" t="s">
        <v>49</v>
      </c>
      <c r="U31" s="35" t="s">
        <v>47</v>
      </c>
      <c r="V31" s="35" t="s">
        <v>50</v>
      </c>
      <c r="X31" t="str">
        <f t="shared" si="14"/>
        <v>Dinamarca</v>
      </c>
      <c r="Y31" t="str">
        <f t="shared" si="15"/>
        <v>Túnez</v>
      </c>
      <c r="Z31">
        <f t="shared" si="16"/>
        <v>0</v>
      </c>
      <c r="AA31">
        <f t="shared" si="17"/>
        <v>0</v>
      </c>
      <c r="AB31" s="39">
        <v>0</v>
      </c>
      <c r="AC31" s="39">
        <v>0</v>
      </c>
      <c r="AF31" t="str">
        <f>J32</f>
        <v>Francia</v>
      </c>
      <c r="AG31" s="36"/>
      <c r="AH31">
        <f>IF(Z30&gt;AA30,2,IF(Z30=AA30,1,0))</f>
        <v>1</v>
      </c>
      <c r="AI31">
        <f>IF(Z32&gt;AA32,2,IF(Z32=AA32,1,0))</f>
        <v>1</v>
      </c>
      <c r="AJ31">
        <f>IF(Z34&gt;AA34,0,IF(Z34=AA34,1,2))</f>
        <v>1</v>
      </c>
    </row>
    <row r="32" spans="2:40" x14ac:dyDescent="0.3">
      <c r="B32" s="37" t="str">
        <f>Apuesta!G34</f>
        <v>Francia</v>
      </c>
      <c r="C32" s="38" t="str">
        <f>IF(Apuesta!H34="","",Apuesta!H34)</f>
        <v/>
      </c>
      <c r="D32" s="37" t="e">
        <f>#REF!</f>
        <v>#REF!</v>
      </c>
      <c r="E32" s="38" t="str">
        <f>IF(Apuesta!J34="","",Apuesta!J34)</f>
        <v/>
      </c>
      <c r="F32" s="37" t="str">
        <f>Apuesta!K34</f>
        <v>Dinamarca</v>
      </c>
      <c r="I32">
        <f>RANK(V32,V$32:V$35,0)</f>
        <v>1</v>
      </c>
      <c r="J32" t="str">
        <f>Apuesta!E33</f>
        <v>Francia</v>
      </c>
      <c r="K32">
        <f t="shared" si="4"/>
        <v>0</v>
      </c>
      <c r="L32">
        <f>COUNTIF(X:Y,J32&amp;"_win")</f>
        <v>0</v>
      </c>
      <c r="M32">
        <f>COUNTIF(X:Y,J32&amp;"_draw")</f>
        <v>0</v>
      </c>
      <c r="N32">
        <f>COUNTIF(X:Y,J32&amp;"_lose")</f>
        <v>0</v>
      </c>
      <c r="O32">
        <f>SUMIF(B:B,J32,Z:Z)+SUMIF(F:F,J32,AA:AA)</f>
        <v>0</v>
      </c>
      <c r="P32">
        <f>SUMIF(B:B,J32,AA:AA)+SUMIF(F:F,J32,Z:Z)</f>
        <v>0</v>
      </c>
      <c r="Q32">
        <f>O32-P32</f>
        <v>0</v>
      </c>
      <c r="R32">
        <f t="shared" si="5"/>
        <v>0</v>
      </c>
      <c r="S32">
        <v>4</v>
      </c>
      <c r="T32">
        <f>RANK(O32,O$32:O$35,1)</f>
        <v>1</v>
      </c>
      <c r="U32">
        <f>RANK(Q32,Q$32:Q$35,1)</f>
        <v>1</v>
      </c>
      <c r="V32">
        <f>R32*1000000+U32*100000+T32*10000-S32</f>
        <v>109996</v>
      </c>
      <c r="X32" t="str">
        <f t="shared" si="14"/>
        <v>Francia</v>
      </c>
      <c r="Y32" t="str">
        <f t="shared" si="15"/>
        <v>Dinamarca</v>
      </c>
      <c r="Z32">
        <f t="shared" si="16"/>
        <v>0</v>
      </c>
      <c r="AA32">
        <f t="shared" si="17"/>
        <v>0</v>
      </c>
      <c r="AB32" s="39">
        <v>0</v>
      </c>
      <c r="AC32" s="39">
        <v>0</v>
      </c>
      <c r="AD32" s="39">
        <v>0</v>
      </c>
      <c r="AF32" t="str">
        <f>J33</f>
        <v>Australia</v>
      </c>
      <c r="AG32">
        <f>2-AH31</f>
        <v>1</v>
      </c>
      <c r="AH32" s="36"/>
      <c r="AI32">
        <f>IF(Z35&gt;AA35,2,IF(Z35=AA35,1,0))</f>
        <v>1</v>
      </c>
      <c r="AJ32">
        <f>IF(Z33&gt;AA33,0,IF(Z33=AA33,1,2))</f>
        <v>1</v>
      </c>
      <c r="AL32" s="73" t="s">
        <v>90</v>
      </c>
      <c r="AM32" s="73"/>
    </row>
    <row r="33" spans="2:40" x14ac:dyDescent="0.3">
      <c r="B33" s="37" t="str">
        <f>Apuesta!G35</f>
        <v>Túnez</v>
      </c>
      <c r="C33" s="38" t="str">
        <f>IF(Apuesta!H35="","",Apuesta!H35)</f>
        <v/>
      </c>
      <c r="D33" s="37" t="e">
        <f>#REF!</f>
        <v>#REF!</v>
      </c>
      <c r="E33" s="38" t="str">
        <f>IF(Apuesta!J35="","",Apuesta!J35)</f>
        <v/>
      </c>
      <c r="F33" s="37" t="str">
        <f>Apuesta!K35</f>
        <v>Australia</v>
      </c>
      <c r="I33">
        <f>RANK(V33,V$32:V$35,0)</f>
        <v>4</v>
      </c>
      <c r="J33" t="str">
        <f>Apuesta!E34</f>
        <v>Australia</v>
      </c>
      <c r="K33">
        <f t="shared" si="4"/>
        <v>0</v>
      </c>
      <c r="L33">
        <f>COUNTIF(X:Y,J33&amp;"_win")</f>
        <v>0</v>
      </c>
      <c r="M33">
        <f>COUNTIF(X:Y,J33&amp;"_draw")</f>
        <v>0</v>
      </c>
      <c r="N33">
        <f>COUNTIF(X:Y,J33&amp;"_lose")</f>
        <v>0</v>
      </c>
      <c r="O33">
        <f>SUMIF(B:B,J33,Z:Z)+SUMIF(F:F,J33,AA:AA)</f>
        <v>0</v>
      </c>
      <c r="P33">
        <f>SUMIF(B:B,J33,AA:AA)+SUMIF(F:F,J33,Z:Z)</f>
        <v>0</v>
      </c>
      <c r="Q33">
        <f>O33-P33</f>
        <v>0</v>
      </c>
      <c r="R33">
        <f t="shared" si="5"/>
        <v>0</v>
      </c>
      <c r="S33">
        <v>38</v>
      </c>
      <c r="T33">
        <f>RANK(O33,O$32:O$35,1)</f>
        <v>1</v>
      </c>
      <c r="U33">
        <f>RANK(Q33,Q$32:Q$35,1)</f>
        <v>1</v>
      </c>
      <c r="V33">
        <f>R33*1000000+U33*100000+T33*10000-S33</f>
        <v>109962</v>
      </c>
      <c r="X33" t="str">
        <f t="shared" si="14"/>
        <v>Túnez</v>
      </c>
      <c r="Y33" t="str">
        <f t="shared" si="15"/>
        <v>Australia</v>
      </c>
      <c r="Z33">
        <f t="shared" si="16"/>
        <v>0</v>
      </c>
      <c r="AA33">
        <f t="shared" si="17"/>
        <v>0</v>
      </c>
      <c r="AB33" s="39">
        <v>3</v>
      </c>
      <c r="AC33" s="39">
        <v>1</v>
      </c>
      <c r="AD33" s="39">
        <v>0</v>
      </c>
      <c r="AF33" t="str">
        <f>J34</f>
        <v>Dinamarca</v>
      </c>
      <c r="AG33">
        <f>2-AI31</f>
        <v>1</v>
      </c>
      <c r="AH33">
        <f>2-AI32</f>
        <v>1</v>
      </c>
      <c r="AI33" s="36"/>
      <c r="AJ33">
        <f>IF(Z31&gt;AA31,2,IF(Z31=AA31,1,0))</f>
        <v>1</v>
      </c>
      <c r="AL33" s="2"/>
      <c r="AM33" s="2" t="str">
        <f>IF(Apuesta!AT45="","",Apuesta!AT45)</f>
        <v/>
      </c>
      <c r="AN33" s="41">
        <v>0</v>
      </c>
    </row>
    <row r="34" spans="2:40" x14ac:dyDescent="0.3">
      <c r="B34" t="str">
        <f>Apuesta!G36</f>
        <v>Túnez</v>
      </c>
      <c r="C34" s="34" t="str">
        <f>IF(Apuesta!H36="","",Apuesta!H36)</f>
        <v/>
      </c>
      <c r="D34" t="e">
        <f>#REF!</f>
        <v>#REF!</v>
      </c>
      <c r="E34" s="34" t="str">
        <f>IF(Apuesta!J36="","",Apuesta!J36)</f>
        <v/>
      </c>
      <c r="F34" t="str">
        <f>Apuesta!K36</f>
        <v>Francia</v>
      </c>
      <c r="I34">
        <f>RANK(V34,V$32:V$35,0)</f>
        <v>2</v>
      </c>
      <c r="J34" t="str">
        <f>Apuesta!E35</f>
        <v>Dinamarca</v>
      </c>
      <c r="K34">
        <f t="shared" si="4"/>
        <v>0</v>
      </c>
      <c r="L34">
        <f>COUNTIF(X:Y,J34&amp;"_win")</f>
        <v>0</v>
      </c>
      <c r="M34">
        <f>COUNTIF(X:Y,J34&amp;"_draw")</f>
        <v>0</v>
      </c>
      <c r="N34">
        <f>COUNTIF(X:Y,J34&amp;"_lose")</f>
        <v>0</v>
      </c>
      <c r="O34">
        <f>SUMIF(B:B,J34,Z:Z)+SUMIF(F:F,J34,AA:AA)</f>
        <v>0</v>
      </c>
      <c r="P34">
        <f>SUMIF(B:B,J34,AA:AA)+SUMIF(F:F,J34,Z:Z)</f>
        <v>0</v>
      </c>
      <c r="Q34">
        <f>O34-P34</f>
        <v>0</v>
      </c>
      <c r="R34">
        <f t="shared" si="5"/>
        <v>0</v>
      </c>
      <c r="S34">
        <v>10</v>
      </c>
      <c r="T34">
        <f>RANK(O34,O$32:O$35,1)</f>
        <v>1</v>
      </c>
      <c r="U34">
        <f>RANK(Q34,Q$32:Q$35,1)</f>
        <v>1</v>
      </c>
      <c r="V34">
        <f>R34*1000000+U34*100000+T34*10000-S34</f>
        <v>109990</v>
      </c>
      <c r="X34" t="str">
        <f t="shared" si="14"/>
        <v>Túnez</v>
      </c>
      <c r="Y34" t="str">
        <f t="shared" si="15"/>
        <v>Francia</v>
      </c>
      <c r="Z34">
        <f t="shared" si="16"/>
        <v>0</v>
      </c>
      <c r="AA34">
        <f t="shared" si="17"/>
        <v>0</v>
      </c>
      <c r="AB34" s="39">
        <v>0</v>
      </c>
      <c r="AC34" s="39">
        <v>0</v>
      </c>
      <c r="AD34" s="39">
        <v>0</v>
      </c>
      <c r="AF34" t="str">
        <f>J35</f>
        <v>Túnez</v>
      </c>
      <c r="AG34">
        <f>2-AJ31</f>
        <v>1</v>
      </c>
      <c r="AH34">
        <f>2-AJ32</f>
        <v>1</v>
      </c>
      <c r="AI34">
        <f>2-AJ33</f>
        <v>1</v>
      </c>
      <c r="AJ34" s="36"/>
    </row>
    <row r="35" spans="2:40" x14ac:dyDescent="0.3">
      <c r="B35" t="str">
        <f>Apuesta!G37</f>
        <v>Australia</v>
      </c>
      <c r="C35" s="34" t="str">
        <f>IF(Apuesta!H37="","",Apuesta!H37)</f>
        <v/>
      </c>
      <c r="D35" t="e">
        <f>#REF!</f>
        <v>#REF!</v>
      </c>
      <c r="E35" s="34" t="str">
        <f>IF(Apuesta!J37="","",Apuesta!J37)</f>
        <v/>
      </c>
      <c r="F35" t="str">
        <f>Apuesta!K37</f>
        <v>Dinamarca</v>
      </c>
      <c r="I35">
        <f>RANK(V35,V$32:V$35,0)</f>
        <v>3</v>
      </c>
      <c r="J35" t="str">
        <f>Apuesta!E36</f>
        <v>Túnez</v>
      </c>
      <c r="K35">
        <f t="shared" si="4"/>
        <v>0</v>
      </c>
      <c r="L35">
        <f>COUNTIF(X:Y,J35&amp;"_win")</f>
        <v>0</v>
      </c>
      <c r="M35">
        <f>COUNTIF(X:Y,J35&amp;"_draw")</f>
        <v>0</v>
      </c>
      <c r="N35">
        <f>COUNTIF(X:Y,J35&amp;"_lose")</f>
        <v>0</v>
      </c>
      <c r="O35">
        <f>SUMIF(B:B,J35,Z:Z)+SUMIF(F:F,J35,AA:AA)</f>
        <v>0</v>
      </c>
      <c r="P35">
        <f>SUMIF(B:B,J35,AA:AA)+SUMIF(F:F,J35,Z:Z)</f>
        <v>0</v>
      </c>
      <c r="Q35">
        <f>O35-P35</f>
        <v>0</v>
      </c>
      <c r="R35">
        <f t="shared" si="5"/>
        <v>0</v>
      </c>
      <c r="S35">
        <v>30</v>
      </c>
      <c r="T35">
        <f>RANK(O35,O$32:O$35,1)</f>
        <v>1</v>
      </c>
      <c r="U35">
        <f>RANK(Q35,Q$32:Q$35,1)</f>
        <v>1</v>
      </c>
      <c r="V35">
        <f>R35*1000000+U35*100000+T35*10000-S35</f>
        <v>109970</v>
      </c>
      <c r="X35" t="str">
        <f t="shared" si="14"/>
        <v>Australia</v>
      </c>
      <c r="Y35" t="str">
        <f t="shared" si="15"/>
        <v>Dinamarca</v>
      </c>
      <c r="Z35">
        <f t="shared" si="16"/>
        <v>0</v>
      </c>
      <c r="AA35">
        <f t="shared" si="17"/>
        <v>0</v>
      </c>
      <c r="AB35" s="39">
        <v>3</v>
      </c>
      <c r="AC35" s="39">
        <v>1</v>
      </c>
      <c r="AD35" s="39">
        <v>0</v>
      </c>
    </row>
    <row r="36" spans="2:40" x14ac:dyDescent="0.3">
      <c r="C36" s="34"/>
      <c r="E36" s="34"/>
      <c r="X36" t="str">
        <f t="shared" si="14"/>
        <v/>
      </c>
      <c r="Y36" t="str">
        <f t="shared" si="15"/>
        <v/>
      </c>
      <c r="AL36" s="1" t="s">
        <v>92</v>
      </c>
      <c r="AM36" s="1">
        <f>SUM(AB73:AD73,AN11,AN18,AN22,AN27,AN30,AN33)</f>
        <v>64</v>
      </c>
    </row>
    <row r="37" spans="2:40" x14ac:dyDescent="0.3">
      <c r="C37" s="34"/>
      <c r="E37" s="34"/>
    </row>
    <row r="38" spans="2:40" x14ac:dyDescent="0.3">
      <c r="C38" s="34"/>
      <c r="E38" s="34"/>
    </row>
    <row r="39" spans="2:40" x14ac:dyDescent="0.3">
      <c r="B39" t="str">
        <f>Apuesta!AA5</f>
        <v>España</v>
      </c>
      <c r="C39" s="34" t="str">
        <f>IF(Apuesta!AB5="","",Apuesta!AB5)</f>
        <v/>
      </c>
      <c r="D39" t="e">
        <f>#REF!</f>
        <v>#REF!</v>
      </c>
      <c r="E39" s="34" t="str">
        <f>IF(Apuesta!AD5="","",Apuesta!AD5)</f>
        <v/>
      </c>
      <c r="F39" t="str">
        <f>Apuesta!AE5</f>
        <v>Costa Rica</v>
      </c>
      <c r="I39" s="72" t="s">
        <v>17</v>
      </c>
      <c r="J39" s="72"/>
      <c r="K39" s="72">
        <f t="shared" si="4"/>
        <v>0</v>
      </c>
      <c r="L39" s="72">
        <f>COUNTIF(X:Y,J39&amp;"_win")</f>
        <v>0</v>
      </c>
      <c r="M39" s="72">
        <f>COUNTIF(X:Y,J39&amp;"_draw")</f>
        <v>0</v>
      </c>
      <c r="N39" s="72">
        <f>COUNTIF(X:Y,J39&amp;"_lose")</f>
        <v>0</v>
      </c>
      <c r="O39" s="72">
        <f>SUMIF(B:B,J39,Z:Z)+SUMIF(F:F,J39,AA:AA)</f>
        <v>0</v>
      </c>
      <c r="P39" s="72">
        <f>SUMIF(B:B,J39,AA:AA)+SUMIF(F:F,J39,Z:Z)</f>
        <v>0</v>
      </c>
      <c r="Q39" s="72"/>
      <c r="R39" s="72">
        <f t="shared" si="5"/>
        <v>0</v>
      </c>
      <c r="S39" s="72"/>
      <c r="T39" s="72"/>
      <c r="U39" s="72"/>
      <c r="V39" s="72"/>
      <c r="X39" t="str">
        <f t="shared" ref="X39:X44" si="18">B39 &amp; IF(OR(C39="",E39=""),"",IF(C39&gt;E39,"_win",IF(C39&lt;E39,"_lose","_draw")))</f>
        <v>España</v>
      </c>
      <c r="Y39" t="str">
        <f t="shared" ref="Y39:Y44" si="19">F39 &amp; IF(OR(C39="",E39=""),"",IF(C39&lt;E39,"_win",IF(C39&gt;E39,"_lose","_draw")))</f>
        <v>Costa Rica</v>
      </c>
      <c r="Z39">
        <f t="shared" ref="Z39:Z44" si="20">IF(OR(C39="",E39=""),0,C39)</f>
        <v>0</v>
      </c>
      <c r="AA39">
        <f t="shared" ref="AA39:AA44" si="21">IF(OR(C39="",E39=""),0,E39)</f>
        <v>0</v>
      </c>
      <c r="AB39" s="39">
        <v>0</v>
      </c>
      <c r="AC39" s="39">
        <v>0</v>
      </c>
      <c r="AG39" t="str">
        <f>J41</f>
        <v>España</v>
      </c>
      <c r="AH39" t="str">
        <f>J42</f>
        <v>Costa Rica</v>
      </c>
      <c r="AI39" t="str">
        <f>J43</f>
        <v>Alemania</v>
      </c>
      <c r="AJ39" t="str">
        <f>J44</f>
        <v>Japón</v>
      </c>
    </row>
    <row r="40" spans="2:40" x14ac:dyDescent="0.3">
      <c r="B40" t="str">
        <f>Apuesta!AA6</f>
        <v>Alemania</v>
      </c>
      <c r="C40" s="34" t="str">
        <f>IF(Apuesta!AB6="","",Apuesta!AB6)</f>
        <v/>
      </c>
      <c r="D40" t="e">
        <f>#REF!</f>
        <v>#REF!</v>
      </c>
      <c r="E40" s="34" t="str">
        <f>IF(Apuesta!AD6="","",Apuesta!AD6)</f>
        <v/>
      </c>
      <c r="F40" t="str">
        <f>Apuesta!AE6</f>
        <v>Japón</v>
      </c>
      <c r="I40" s="35" t="s">
        <v>21</v>
      </c>
      <c r="J40" s="35" t="s">
        <v>4</v>
      </c>
      <c r="K40" s="35" t="s">
        <v>43</v>
      </c>
      <c r="L40" s="35" t="s">
        <v>44</v>
      </c>
      <c r="M40" s="35" t="s">
        <v>45</v>
      </c>
      <c r="N40" s="35" t="s">
        <v>46</v>
      </c>
      <c r="O40" s="35" t="s">
        <v>0</v>
      </c>
      <c r="P40" s="35" t="s">
        <v>1</v>
      </c>
      <c r="Q40" s="35" t="s">
        <v>2</v>
      </c>
      <c r="R40" s="35" t="s">
        <v>41</v>
      </c>
      <c r="S40" s="35" t="s">
        <v>48</v>
      </c>
      <c r="T40" s="35" t="s">
        <v>49</v>
      </c>
      <c r="U40" s="35" t="s">
        <v>47</v>
      </c>
      <c r="V40" s="35" t="s">
        <v>50</v>
      </c>
      <c r="X40" t="str">
        <f t="shared" si="18"/>
        <v>Alemania</v>
      </c>
      <c r="Y40" t="str">
        <f t="shared" si="19"/>
        <v>Japón</v>
      </c>
      <c r="Z40">
        <f t="shared" si="20"/>
        <v>0</v>
      </c>
      <c r="AA40">
        <f t="shared" si="21"/>
        <v>0</v>
      </c>
      <c r="AB40" s="39">
        <v>0</v>
      </c>
      <c r="AC40" s="39">
        <v>0</v>
      </c>
      <c r="AF40" t="str">
        <f>J41</f>
        <v>España</v>
      </c>
      <c r="AG40" s="36"/>
      <c r="AH40">
        <f>IF(Z39&gt;AA39,2,IF(Z39=AA39,1,0))</f>
        <v>1</v>
      </c>
      <c r="AI40">
        <f>IF(Z41&gt;AA41,2,IF(Z41=AA41,1,0))</f>
        <v>1</v>
      </c>
      <c r="AJ40">
        <f>IF(Z43&gt;AA43,0,IF(Z43=AA43,1,2))</f>
        <v>1</v>
      </c>
    </row>
    <row r="41" spans="2:40" x14ac:dyDescent="0.3">
      <c r="B41" s="37" t="str">
        <f>Apuesta!AA7</f>
        <v>España</v>
      </c>
      <c r="C41" s="38" t="str">
        <f>IF(Apuesta!AB7="","",Apuesta!AB7)</f>
        <v/>
      </c>
      <c r="D41" s="37" t="e">
        <f>#REF!</f>
        <v>#REF!</v>
      </c>
      <c r="E41" s="38" t="str">
        <f>IF(Apuesta!AD7="","",Apuesta!AD7)</f>
        <v/>
      </c>
      <c r="F41" s="37" t="str">
        <f>Apuesta!AE7</f>
        <v>Alemania</v>
      </c>
      <c r="I41">
        <f>RANK(V41,V$41:V$44,0)</f>
        <v>1</v>
      </c>
      <c r="J41" t="str">
        <f>Apuesta!Y6</f>
        <v>España</v>
      </c>
      <c r="K41">
        <f t="shared" si="4"/>
        <v>0</v>
      </c>
      <c r="L41">
        <f>COUNTIF(X:Y,J41&amp;"_win")</f>
        <v>0</v>
      </c>
      <c r="M41">
        <f>COUNTIF(X:Y,J41&amp;"_draw")</f>
        <v>0</v>
      </c>
      <c r="N41">
        <f>COUNTIF(X:Y,J41&amp;"_lose")</f>
        <v>0</v>
      </c>
      <c r="O41">
        <f>SUMIF(B:B,J41,Z:Z)+SUMIF(F:F,J41,AA:AA)</f>
        <v>0</v>
      </c>
      <c r="P41">
        <f>SUMIF(B:B,J41,AA:AA)+SUMIF(F:F,J41,Z:Z)</f>
        <v>0</v>
      </c>
      <c r="Q41">
        <f>O41-P41</f>
        <v>0</v>
      </c>
      <c r="R41">
        <f t="shared" si="5"/>
        <v>0</v>
      </c>
      <c r="S41">
        <v>7</v>
      </c>
      <c r="T41">
        <f>RANK(O41,O$41:O$44,1)</f>
        <v>1</v>
      </c>
      <c r="U41">
        <f>RANK(Q41,Q$41:Q$44,1)</f>
        <v>1</v>
      </c>
      <c r="V41">
        <f>R41*1000000+U41*100000+T41*10000-S41</f>
        <v>109993</v>
      </c>
      <c r="X41" t="str">
        <f t="shared" si="18"/>
        <v>España</v>
      </c>
      <c r="Y41" t="str">
        <f t="shared" si="19"/>
        <v>Alemania</v>
      </c>
      <c r="Z41">
        <f t="shared" si="20"/>
        <v>0</v>
      </c>
      <c r="AA41">
        <f t="shared" si="21"/>
        <v>0</v>
      </c>
      <c r="AB41" s="39">
        <v>0</v>
      </c>
      <c r="AC41" s="39">
        <v>0</v>
      </c>
      <c r="AD41" s="39">
        <v>0</v>
      </c>
      <c r="AF41" t="str">
        <f>J42</f>
        <v>Costa Rica</v>
      </c>
      <c r="AG41">
        <f>2-AH40</f>
        <v>1</v>
      </c>
      <c r="AH41" s="36"/>
      <c r="AI41">
        <f>IF(Z44&gt;AA44,2,IF(Z44=AA44,1,0))</f>
        <v>1</v>
      </c>
      <c r="AJ41">
        <f>IF(Z42&gt;AA42,0,IF(Z42=AA42,1,2))</f>
        <v>1</v>
      </c>
    </row>
    <row r="42" spans="2:40" x14ac:dyDescent="0.3">
      <c r="B42" s="37" t="str">
        <f>Apuesta!AA8</f>
        <v>Japón</v>
      </c>
      <c r="C42" s="38" t="str">
        <f>IF(Apuesta!AB8="","",Apuesta!AB8)</f>
        <v/>
      </c>
      <c r="D42" s="37" t="e">
        <f>#REF!</f>
        <v>#REF!</v>
      </c>
      <c r="E42" s="38" t="str">
        <f>IF(Apuesta!AD8="","",Apuesta!AD8)</f>
        <v/>
      </c>
      <c r="F42" s="37" t="str">
        <f>Apuesta!AE8</f>
        <v>Costa Rica</v>
      </c>
      <c r="I42">
        <f>RANK(V42,V$41:V$44,0)</f>
        <v>4</v>
      </c>
      <c r="J42" t="str">
        <f>Apuesta!Y7</f>
        <v>Costa Rica</v>
      </c>
      <c r="K42">
        <f t="shared" si="4"/>
        <v>0</v>
      </c>
      <c r="L42">
        <f>COUNTIF(X:Y,J42&amp;"_win")</f>
        <v>0</v>
      </c>
      <c r="M42">
        <f>COUNTIF(X:Y,J42&amp;"_draw")</f>
        <v>0</v>
      </c>
      <c r="N42">
        <f>COUNTIF(X:Y,J42&amp;"_lose")</f>
        <v>0</v>
      </c>
      <c r="O42">
        <f>SUMIF(B:B,J42,Z:Z)+SUMIF(F:F,J42,AA:AA)</f>
        <v>0</v>
      </c>
      <c r="P42">
        <f>SUMIF(B:B,J42,AA:AA)+SUMIF(F:F,J42,Z:Z)</f>
        <v>0</v>
      </c>
      <c r="Q42">
        <f>O42-P42</f>
        <v>0</v>
      </c>
      <c r="R42">
        <f t="shared" si="5"/>
        <v>0</v>
      </c>
      <c r="S42">
        <v>31</v>
      </c>
      <c r="T42">
        <f>RANK(O42,O$41:O$44,1)</f>
        <v>1</v>
      </c>
      <c r="U42">
        <f>RANK(Q42,Q$41:Q$44,1)</f>
        <v>1</v>
      </c>
      <c r="V42">
        <f>R42*1000000+U42*100000+T42*10000-S42</f>
        <v>109969</v>
      </c>
      <c r="X42" t="str">
        <f t="shared" si="18"/>
        <v>Japón</v>
      </c>
      <c r="Y42" t="str">
        <f t="shared" si="19"/>
        <v>Costa Rica</v>
      </c>
      <c r="Z42">
        <f t="shared" si="20"/>
        <v>0</v>
      </c>
      <c r="AA42">
        <f t="shared" si="21"/>
        <v>0</v>
      </c>
      <c r="AB42" s="39">
        <v>3</v>
      </c>
      <c r="AC42" s="39">
        <v>1</v>
      </c>
      <c r="AD42" s="39">
        <v>0</v>
      </c>
      <c r="AF42" t="str">
        <f>J43</f>
        <v>Alemania</v>
      </c>
      <c r="AG42">
        <f>2-AI40</f>
        <v>1</v>
      </c>
      <c r="AH42">
        <f>2-AI41</f>
        <v>1</v>
      </c>
      <c r="AI42" s="36"/>
      <c r="AJ42">
        <f>IF(Z40&gt;AA40,2,IF(Z40=AA40,1,0))</f>
        <v>1</v>
      </c>
    </row>
    <row r="43" spans="2:40" x14ac:dyDescent="0.3">
      <c r="B43" t="str">
        <f>Apuesta!AA9</f>
        <v>Japón</v>
      </c>
      <c r="C43" s="34" t="str">
        <f>IF(Apuesta!AB9="","",Apuesta!AB9)</f>
        <v/>
      </c>
      <c r="D43" t="e">
        <f>#REF!</f>
        <v>#REF!</v>
      </c>
      <c r="E43" s="34" t="str">
        <f>IF(Apuesta!AD9="","",Apuesta!AD9)</f>
        <v/>
      </c>
      <c r="F43" t="str">
        <f>Apuesta!AE9</f>
        <v>España</v>
      </c>
      <c r="I43">
        <f>RANK(V43,V$41:V$44,0)</f>
        <v>2</v>
      </c>
      <c r="J43" t="str">
        <f>Apuesta!Y8</f>
        <v>Alemania</v>
      </c>
      <c r="K43">
        <f t="shared" si="4"/>
        <v>0</v>
      </c>
      <c r="L43">
        <f>COUNTIF(X:Y,J43&amp;"_win")</f>
        <v>0</v>
      </c>
      <c r="M43">
        <f>COUNTIF(X:Y,J43&amp;"_draw")</f>
        <v>0</v>
      </c>
      <c r="N43">
        <f>COUNTIF(X:Y,J43&amp;"_lose")</f>
        <v>0</v>
      </c>
      <c r="O43">
        <f>SUMIF(B:B,J43,Z:Z)+SUMIF(F:F,J43,AA:AA)</f>
        <v>0</v>
      </c>
      <c r="P43">
        <f>SUMIF(B:B,J43,AA:AA)+SUMIF(F:F,J43,Z:Z)</f>
        <v>0</v>
      </c>
      <c r="Q43">
        <f>O43-P43</f>
        <v>0</v>
      </c>
      <c r="R43">
        <f t="shared" si="5"/>
        <v>0</v>
      </c>
      <c r="S43">
        <v>11</v>
      </c>
      <c r="T43">
        <f>RANK(O43,O$41:O$44,1)</f>
        <v>1</v>
      </c>
      <c r="U43">
        <f>RANK(Q43,Q$41:Q$44,1)</f>
        <v>1</v>
      </c>
      <c r="V43">
        <f>R43*1000000+U43*100000+T43*10000-S43</f>
        <v>109989</v>
      </c>
      <c r="X43" t="str">
        <f t="shared" si="18"/>
        <v>Japón</v>
      </c>
      <c r="Y43" t="str">
        <f t="shared" si="19"/>
        <v>España</v>
      </c>
      <c r="Z43">
        <f t="shared" si="20"/>
        <v>0</v>
      </c>
      <c r="AA43">
        <f t="shared" si="21"/>
        <v>0</v>
      </c>
      <c r="AB43" s="39">
        <v>0</v>
      </c>
      <c r="AC43" s="39">
        <v>0</v>
      </c>
      <c r="AD43" s="39">
        <v>0</v>
      </c>
      <c r="AF43" t="str">
        <f>J44</f>
        <v>Japón</v>
      </c>
      <c r="AG43">
        <f>2-AJ40</f>
        <v>1</v>
      </c>
      <c r="AH43">
        <f>2-AJ41</f>
        <v>1</v>
      </c>
      <c r="AI43">
        <f>2-AJ42</f>
        <v>1</v>
      </c>
      <c r="AJ43" s="36"/>
    </row>
    <row r="44" spans="2:40" x14ac:dyDescent="0.3">
      <c r="B44" t="str">
        <f>Apuesta!AA10</f>
        <v>Costa Rica</v>
      </c>
      <c r="C44" s="34" t="str">
        <f>IF(Apuesta!AB10="","",Apuesta!AB10)</f>
        <v/>
      </c>
      <c r="D44" t="e">
        <f>#REF!</f>
        <v>#REF!</v>
      </c>
      <c r="E44" s="34" t="str">
        <f>IF(Apuesta!AD10="","",Apuesta!AD10)</f>
        <v/>
      </c>
      <c r="F44" t="str">
        <f>Apuesta!AE10</f>
        <v>Alemania</v>
      </c>
      <c r="I44">
        <f>RANK(V44,V$41:V$44,0)</f>
        <v>3</v>
      </c>
      <c r="J44" t="str">
        <f>Apuesta!Y9</f>
        <v>Japón</v>
      </c>
      <c r="K44">
        <f t="shared" si="4"/>
        <v>0</v>
      </c>
      <c r="L44">
        <f>COUNTIF(X:Y,J44&amp;"_win")</f>
        <v>0</v>
      </c>
      <c r="M44">
        <f>COUNTIF(X:Y,J44&amp;"_draw")</f>
        <v>0</v>
      </c>
      <c r="N44">
        <f>COUNTIF(X:Y,J44&amp;"_lose")</f>
        <v>0</v>
      </c>
      <c r="O44">
        <f>SUMIF(B:B,J44,Z:Z)+SUMIF(F:F,J44,AA:AA)</f>
        <v>0</v>
      </c>
      <c r="P44">
        <f>SUMIF(B:B,J44,AA:AA)+SUMIF(F:F,J44,Z:Z)</f>
        <v>0</v>
      </c>
      <c r="Q44">
        <f>O44-P44</f>
        <v>0</v>
      </c>
      <c r="R44">
        <f t="shared" si="5"/>
        <v>0</v>
      </c>
      <c r="S44">
        <v>24</v>
      </c>
      <c r="T44">
        <f>RANK(O44,O$41:O$44,1)</f>
        <v>1</v>
      </c>
      <c r="U44">
        <f>RANK(Q44,Q$41:Q$44,1)</f>
        <v>1</v>
      </c>
      <c r="V44">
        <f>R44*1000000+U44*100000+T44*10000-S44</f>
        <v>109976</v>
      </c>
      <c r="X44" t="str">
        <f t="shared" si="18"/>
        <v>Costa Rica</v>
      </c>
      <c r="Y44" t="str">
        <f t="shared" si="19"/>
        <v>Alemania</v>
      </c>
      <c r="Z44">
        <f t="shared" si="20"/>
        <v>0</v>
      </c>
      <c r="AA44">
        <f t="shared" si="21"/>
        <v>0</v>
      </c>
      <c r="AB44" s="39">
        <v>3</v>
      </c>
      <c r="AC44" s="39">
        <v>1</v>
      </c>
      <c r="AD44" s="39">
        <v>0</v>
      </c>
    </row>
    <row r="45" spans="2:40" x14ac:dyDescent="0.3">
      <c r="C45" s="34"/>
      <c r="E45" s="34"/>
    </row>
    <row r="46" spans="2:40" x14ac:dyDescent="0.3">
      <c r="C46" s="34"/>
      <c r="E46" s="34"/>
    </row>
    <row r="47" spans="2:40" x14ac:dyDescent="0.3">
      <c r="C47" s="34"/>
      <c r="E47" s="34"/>
    </row>
    <row r="48" spans="2:40" x14ac:dyDescent="0.3">
      <c r="B48" t="str">
        <f>Apuesta!AA14</f>
        <v>Bélgica</v>
      </c>
      <c r="C48" s="34" t="str">
        <f>IF(Apuesta!AB14="","",Apuesta!AB14)</f>
        <v/>
      </c>
      <c r="D48" t="e">
        <f>#REF!</f>
        <v>#REF!</v>
      </c>
      <c r="E48" s="34" t="str">
        <f>IF(Apuesta!AD14="","",Apuesta!AD14)</f>
        <v/>
      </c>
      <c r="F48" t="str">
        <f>Apuesta!AE14</f>
        <v>Canadá</v>
      </c>
      <c r="I48" s="72" t="s">
        <v>18</v>
      </c>
      <c r="J48" s="72"/>
      <c r="K48" s="72">
        <f t="shared" si="4"/>
        <v>0</v>
      </c>
      <c r="L48" s="72">
        <f>COUNTIF(X:Y,J48&amp;"_win")</f>
        <v>0</v>
      </c>
      <c r="M48" s="72">
        <f>COUNTIF(X:Y,J48&amp;"_draw")</f>
        <v>0</v>
      </c>
      <c r="N48" s="72">
        <f>COUNTIF(X:Y,J48&amp;"_lose")</f>
        <v>0</v>
      </c>
      <c r="O48" s="72">
        <f>SUMIF(B:B,J48,Z:Z)+SUMIF(F:F,J48,AA:AA)</f>
        <v>0</v>
      </c>
      <c r="P48" s="72">
        <f>SUMIF(B:B,J48,AA:AA)+SUMIF(F:F,J48,Z:Z)</f>
        <v>0</v>
      </c>
      <c r="Q48" s="72"/>
      <c r="R48" s="72">
        <f t="shared" si="5"/>
        <v>0</v>
      </c>
      <c r="S48" s="72"/>
      <c r="T48" s="72"/>
      <c r="U48" s="72"/>
      <c r="V48" s="72"/>
      <c r="X48" t="str">
        <f t="shared" ref="X48:X53" si="22">B48 &amp; IF(OR(C48="",E48=""),"",IF(C48&gt;E48,"_win",IF(C48&lt;E48,"_lose","_draw")))</f>
        <v>Bélgica</v>
      </c>
      <c r="Y48" t="str">
        <f t="shared" ref="Y48:Y53" si="23">F48 &amp; IF(OR(C48="",E48=""),"",IF(C48&lt;E48,"_win",IF(C48&gt;E48,"_lose","_draw")))</f>
        <v>Canadá</v>
      </c>
      <c r="Z48">
        <f t="shared" ref="Z48:Z53" si="24">IF(OR(C48="",E48=""),0,C48)</f>
        <v>0</v>
      </c>
      <c r="AA48">
        <f t="shared" ref="AA48:AA53" si="25">IF(OR(C48="",E48=""),0,E48)</f>
        <v>0</v>
      </c>
      <c r="AB48" s="39">
        <v>0</v>
      </c>
      <c r="AC48" s="39">
        <v>0</v>
      </c>
      <c r="AG48" t="str">
        <f>J50</f>
        <v>Bélgica</v>
      </c>
      <c r="AH48" t="str">
        <f>J51</f>
        <v>Canadá</v>
      </c>
      <c r="AI48" t="str">
        <f>J52</f>
        <v>Marruecos</v>
      </c>
      <c r="AJ48" t="str">
        <f>J53</f>
        <v>Croacia</v>
      </c>
    </row>
    <row r="49" spans="2:36" x14ac:dyDescent="0.3">
      <c r="B49" t="str">
        <f>Apuesta!AA15</f>
        <v>Marruecos</v>
      </c>
      <c r="C49" s="34" t="str">
        <f>IF(Apuesta!AB15="","",Apuesta!AB15)</f>
        <v/>
      </c>
      <c r="D49" t="e">
        <f>#REF!</f>
        <v>#REF!</v>
      </c>
      <c r="E49" s="34" t="str">
        <f>IF(Apuesta!AD15="","",Apuesta!AD15)</f>
        <v/>
      </c>
      <c r="F49" t="str">
        <f>Apuesta!AE15</f>
        <v>Croacia</v>
      </c>
      <c r="I49" s="35" t="s">
        <v>21</v>
      </c>
      <c r="J49" s="35" t="s">
        <v>4</v>
      </c>
      <c r="K49" s="35" t="s">
        <v>43</v>
      </c>
      <c r="L49" s="35" t="s">
        <v>44</v>
      </c>
      <c r="M49" s="35" t="s">
        <v>45</v>
      </c>
      <c r="N49" s="35" t="s">
        <v>46</v>
      </c>
      <c r="O49" s="35" t="s">
        <v>0</v>
      </c>
      <c r="P49" s="35" t="s">
        <v>1</v>
      </c>
      <c r="Q49" s="35" t="s">
        <v>2</v>
      </c>
      <c r="R49" s="35" t="s">
        <v>41</v>
      </c>
      <c r="S49" s="35" t="s">
        <v>48</v>
      </c>
      <c r="T49" s="35" t="s">
        <v>49</v>
      </c>
      <c r="U49" s="35" t="s">
        <v>47</v>
      </c>
      <c r="V49" s="35" t="s">
        <v>50</v>
      </c>
      <c r="X49" t="str">
        <f t="shared" si="22"/>
        <v>Marruecos</v>
      </c>
      <c r="Y49" t="str">
        <f t="shared" si="23"/>
        <v>Croacia</v>
      </c>
      <c r="Z49">
        <f t="shared" si="24"/>
        <v>0</v>
      </c>
      <c r="AA49">
        <f t="shared" si="25"/>
        <v>0</v>
      </c>
      <c r="AB49" s="39">
        <v>0</v>
      </c>
      <c r="AC49" s="39">
        <v>0</v>
      </c>
      <c r="AF49" t="str">
        <f>J50</f>
        <v>Bélgica</v>
      </c>
      <c r="AG49" s="36"/>
      <c r="AH49">
        <f>IF(Z48&gt;AA48,2,IF(Z48=AA48,1,0))</f>
        <v>1</v>
      </c>
      <c r="AI49">
        <f>IF(Z50&gt;AA50,2,IF(Z50=AA50,1,0))</f>
        <v>1</v>
      </c>
      <c r="AJ49">
        <f>IF(Z52&gt;AA52,0,IF(Z52=AA52,1,2))</f>
        <v>1</v>
      </c>
    </row>
    <row r="50" spans="2:36" x14ac:dyDescent="0.3">
      <c r="B50" s="37" t="str">
        <f>Apuesta!AA16</f>
        <v>Bélgica</v>
      </c>
      <c r="C50" s="38" t="str">
        <f>IF(Apuesta!AB16="","",Apuesta!AB16)</f>
        <v/>
      </c>
      <c r="D50" s="37" t="e">
        <f>#REF!</f>
        <v>#REF!</v>
      </c>
      <c r="E50" s="38" t="str">
        <f>IF(Apuesta!AD16="","",Apuesta!AD16)</f>
        <v/>
      </c>
      <c r="F50" s="37" t="str">
        <f>Apuesta!AE16</f>
        <v>Marruecos</v>
      </c>
      <c r="I50">
        <f>RANK(V50,V$50:V$53,0)</f>
        <v>1</v>
      </c>
      <c r="J50" t="str">
        <f>Apuesta!Y15</f>
        <v>Bélgica</v>
      </c>
      <c r="K50">
        <f t="shared" si="4"/>
        <v>0</v>
      </c>
      <c r="L50">
        <f>COUNTIF(X:Y,J50&amp;"_win")</f>
        <v>0</v>
      </c>
      <c r="M50">
        <f>COUNTIF(X:Y,J50&amp;"_draw")</f>
        <v>0</v>
      </c>
      <c r="N50">
        <f>COUNTIF(X:Y,J50&amp;"_lose")</f>
        <v>0</v>
      </c>
      <c r="O50">
        <f>SUMIF(B:B,J50,Z:Z)+SUMIF(F:F,J50,AA:AA)</f>
        <v>0</v>
      </c>
      <c r="P50">
        <f>SUMIF(B:B,J50,AA:AA)+SUMIF(F:F,J50,Z:Z)</f>
        <v>0</v>
      </c>
      <c r="Q50">
        <f>O50-P50</f>
        <v>0</v>
      </c>
      <c r="R50">
        <f t="shared" si="5"/>
        <v>0</v>
      </c>
      <c r="S50">
        <v>2</v>
      </c>
      <c r="T50">
        <f>RANK(O50,O$50:O$53,1)</f>
        <v>1</v>
      </c>
      <c r="U50">
        <f>RANK(Q50,Q$50:Q$53,1)</f>
        <v>1</v>
      </c>
      <c r="V50">
        <f>R50*1000000+U50*100000+T50*10000-S50</f>
        <v>109998</v>
      </c>
      <c r="X50" t="str">
        <f t="shared" si="22"/>
        <v>Bélgica</v>
      </c>
      <c r="Y50" t="str">
        <f t="shared" si="23"/>
        <v>Marruecos</v>
      </c>
      <c r="Z50">
        <f t="shared" si="24"/>
        <v>0</v>
      </c>
      <c r="AA50">
        <f t="shared" si="25"/>
        <v>0</v>
      </c>
      <c r="AB50" s="39">
        <v>0</v>
      </c>
      <c r="AC50" s="39">
        <v>0</v>
      </c>
      <c r="AD50" s="39">
        <v>0</v>
      </c>
      <c r="AF50" t="str">
        <f>J51</f>
        <v>Canadá</v>
      </c>
      <c r="AG50">
        <f>2-AH49</f>
        <v>1</v>
      </c>
      <c r="AH50" s="36"/>
      <c r="AI50">
        <f>IF(Z53&gt;AA53,2,IF(Z53=AA53,1,0))</f>
        <v>1</v>
      </c>
      <c r="AJ50">
        <f>IF(Z51&gt;AA51,0,IF(Z51=AA51,1,2))</f>
        <v>1</v>
      </c>
    </row>
    <row r="51" spans="2:36" x14ac:dyDescent="0.3">
      <c r="B51" s="37" t="str">
        <f>Apuesta!AA17</f>
        <v>Croacia</v>
      </c>
      <c r="C51" s="38" t="str">
        <f>IF(Apuesta!AB17="","",Apuesta!AB17)</f>
        <v/>
      </c>
      <c r="D51" s="37" t="e">
        <f>#REF!</f>
        <v>#REF!</v>
      </c>
      <c r="E51" s="38" t="str">
        <f>IF(Apuesta!AD17="","",Apuesta!AD17)</f>
        <v/>
      </c>
      <c r="F51" s="37" t="str">
        <f>Apuesta!AE17</f>
        <v>Canadá</v>
      </c>
      <c r="I51">
        <f>RANK(V51,V$50:V$53,0)</f>
        <v>4</v>
      </c>
      <c r="J51" t="str">
        <f>Apuesta!Y16</f>
        <v>Canadá</v>
      </c>
      <c r="K51">
        <f t="shared" si="4"/>
        <v>0</v>
      </c>
      <c r="L51">
        <f>COUNTIF(X:Y,J51&amp;"_win")</f>
        <v>0</v>
      </c>
      <c r="M51">
        <f>COUNTIF(X:Y,J51&amp;"_draw")</f>
        <v>0</v>
      </c>
      <c r="N51">
        <f>COUNTIF(X:Y,J51&amp;"_lose")</f>
        <v>0</v>
      </c>
      <c r="O51">
        <f>SUMIF(B:B,J51,Z:Z)+SUMIF(F:F,J51,AA:AA)</f>
        <v>0</v>
      </c>
      <c r="P51">
        <f>SUMIF(B:B,J51,AA:AA)+SUMIF(F:F,J51,Z:Z)</f>
        <v>0</v>
      </c>
      <c r="Q51">
        <f>O51-P51</f>
        <v>0</v>
      </c>
      <c r="R51">
        <f t="shared" si="5"/>
        <v>0</v>
      </c>
      <c r="S51">
        <v>41</v>
      </c>
      <c r="T51">
        <f>RANK(O51,O$50:O$53,1)</f>
        <v>1</v>
      </c>
      <c r="U51">
        <f>RANK(Q51,Q$50:Q$53,1)</f>
        <v>1</v>
      </c>
      <c r="V51">
        <f>R51*1000000+U51*100000+T51*10000-S51</f>
        <v>109959</v>
      </c>
      <c r="X51" t="str">
        <f t="shared" si="22"/>
        <v>Croacia</v>
      </c>
      <c r="Y51" t="str">
        <f t="shared" si="23"/>
        <v>Canadá</v>
      </c>
      <c r="Z51">
        <f t="shared" si="24"/>
        <v>0</v>
      </c>
      <c r="AA51">
        <f t="shared" si="25"/>
        <v>0</v>
      </c>
      <c r="AB51" s="39">
        <v>3</v>
      </c>
      <c r="AC51" s="39">
        <v>1</v>
      </c>
      <c r="AD51" s="39">
        <v>0</v>
      </c>
      <c r="AF51" t="str">
        <f>J52</f>
        <v>Marruecos</v>
      </c>
      <c r="AG51">
        <f>2-AI49</f>
        <v>1</v>
      </c>
      <c r="AH51">
        <f>2-AI50</f>
        <v>1</v>
      </c>
      <c r="AI51" s="36"/>
      <c r="AJ51">
        <f>IF(Z49&gt;AA49,2,IF(Z49=AA49,1,0))</f>
        <v>1</v>
      </c>
    </row>
    <row r="52" spans="2:36" x14ac:dyDescent="0.3">
      <c r="B52" t="str">
        <f>Apuesta!AA18</f>
        <v>Croacia</v>
      </c>
      <c r="C52" s="34" t="str">
        <f>IF(Apuesta!AB18="","",Apuesta!AB18)</f>
        <v/>
      </c>
      <c r="D52" t="e">
        <f>#REF!</f>
        <v>#REF!</v>
      </c>
      <c r="E52" s="34" t="str">
        <f>IF(Apuesta!AD18="","",Apuesta!AD18)</f>
        <v/>
      </c>
      <c r="F52" t="str">
        <f>Apuesta!AE18</f>
        <v>Bélgica</v>
      </c>
      <c r="I52">
        <f>RANK(V52,V$50:V$53,0)</f>
        <v>3</v>
      </c>
      <c r="J52" t="str">
        <f>Apuesta!Y17</f>
        <v>Marruecos</v>
      </c>
      <c r="K52">
        <f t="shared" si="4"/>
        <v>0</v>
      </c>
      <c r="L52">
        <f>COUNTIF(X:Y,J52&amp;"_win")</f>
        <v>0</v>
      </c>
      <c r="M52">
        <f>COUNTIF(X:Y,J52&amp;"_draw")</f>
        <v>0</v>
      </c>
      <c r="N52">
        <f>COUNTIF(X:Y,J52&amp;"_lose")</f>
        <v>0</v>
      </c>
      <c r="O52">
        <f>SUMIF(B:B,J52,Z:Z)+SUMIF(F:F,J52,AA:AA)</f>
        <v>0</v>
      </c>
      <c r="P52">
        <f>SUMIF(B:B,J52,AA:AA)+SUMIF(F:F,J52,Z:Z)</f>
        <v>0</v>
      </c>
      <c r="Q52">
        <f>O52-P52</f>
        <v>0</v>
      </c>
      <c r="R52">
        <f t="shared" si="5"/>
        <v>0</v>
      </c>
      <c r="S52">
        <v>22</v>
      </c>
      <c r="T52">
        <f>RANK(O52,O$50:O$53,1)</f>
        <v>1</v>
      </c>
      <c r="U52">
        <f>RANK(Q52,Q$50:Q$53,1)</f>
        <v>1</v>
      </c>
      <c r="V52">
        <f>R52*1000000+U52*100000+T52*10000-S52</f>
        <v>109978</v>
      </c>
      <c r="X52" t="str">
        <f t="shared" si="22"/>
        <v>Croacia</v>
      </c>
      <c r="Y52" t="str">
        <f t="shared" si="23"/>
        <v>Bélgica</v>
      </c>
      <c r="Z52">
        <f t="shared" si="24"/>
        <v>0</v>
      </c>
      <c r="AA52">
        <f t="shared" si="25"/>
        <v>0</v>
      </c>
      <c r="AB52" s="39">
        <v>0</v>
      </c>
      <c r="AC52" s="39">
        <v>0</v>
      </c>
      <c r="AD52" s="39">
        <v>0</v>
      </c>
      <c r="AF52" t="str">
        <f>J53</f>
        <v>Croacia</v>
      </c>
      <c r="AG52">
        <f>2-AJ49</f>
        <v>1</v>
      </c>
      <c r="AH52">
        <f>2-AJ50</f>
        <v>1</v>
      </c>
      <c r="AI52">
        <f>2-AJ51</f>
        <v>1</v>
      </c>
      <c r="AJ52" s="36"/>
    </row>
    <row r="53" spans="2:36" x14ac:dyDescent="0.3">
      <c r="B53" t="str">
        <f>Apuesta!AA19</f>
        <v>Canadá</v>
      </c>
      <c r="C53" s="34" t="str">
        <f>IF(Apuesta!AB19="","",Apuesta!AB19)</f>
        <v/>
      </c>
      <c r="D53" t="e">
        <f>#REF!</f>
        <v>#REF!</v>
      </c>
      <c r="E53" s="34" t="str">
        <f>IF(Apuesta!AD19="","",Apuesta!AD19)</f>
        <v/>
      </c>
      <c r="F53" t="str">
        <f>Apuesta!AE19</f>
        <v>Marruecos</v>
      </c>
      <c r="I53">
        <f>RANK(V53,V$50:V$53,0)</f>
        <v>2</v>
      </c>
      <c r="J53" t="str">
        <f>Apuesta!Y18</f>
        <v>Croacia</v>
      </c>
      <c r="K53">
        <f t="shared" si="4"/>
        <v>0</v>
      </c>
      <c r="L53">
        <f>COUNTIF(X:Y,J53&amp;"_win")</f>
        <v>0</v>
      </c>
      <c r="M53">
        <f>COUNTIF(X:Y,J53&amp;"_draw")</f>
        <v>0</v>
      </c>
      <c r="N53">
        <f>COUNTIF(X:Y,J53&amp;"_lose")</f>
        <v>0</v>
      </c>
      <c r="O53">
        <f>SUMIF(B:B,J53,Z:Z)+SUMIF(F:F,J53,AA:AA)</f>
        <v>0</v>
      </c>
      <c r="P53">
        <f>SUMIF(B:B,J53,AA:AA)+SUMIF(F:F,J53,Z:Z)</f>
        <v>0</v>
      </c>
      <c r="Q53">
        <f>O53-P53</f>
        <v>0</v>
      </c>
      <c r="R53">
        <f t="shared" si="5"/>
        <v>0</v>
      </c>
      <c r="S53">
        <v>12</v>
      </c>
      <c r="T53">
        <f>RANK(O53,O$50:O$53,1)</f>
        <v>1</v>
      </c>
      <c r="U53">
        <f>RANK(Q53,Q$50:Q$53,1)</f>
        <v>1</v>
      </c>
      <c r="V53">
        <f>R53*1000000+U53*100000+T53*10000-S53</f>
        <v>109988</v>
      </c>
      <c r="X53" t="str">
        <f t="shared" si="22"/>
        <v>Canadá</v>
      </c>
      <c r="Y53" t="str">
        <f t="shared" si="23"/>
        <v>Marruecos</v>
      </c>
      <c r="Z53">
        <f t="shared" si="24"/>
        <v>0</v>
      </c>
      <c r="AA53">
        <f t="shared" si="25"/>
        <v>0</v>
      </c>
      <c r="AB53" s="39">
        <v>3</v>
      </c>
      <c r="AC53" s="39">
        <v>1</v>
      </c>
      <c r="AD53" s="39">
        <v>0</v>
      </c>
    </row>
    <row r="54" spans="2:36" x14ac:dyDescent="0.3">
      <c r="C54" s="34"/>
      <c r="E54" s="34"/>
    </row>
    <row r="55" spans="2:36" x14ac:dyDescent="0.3">
      <c r="C55" s="34"/>
      <c r="E55" s="34"/>
    </row>
    <row r="56" spans="2:36" x14ac:dyDescent="0.3">
      <c r="C56" s="34"/>
      <c r="E56" s="34"/>
    </row>
    <row r="57" spans="2:36" x14ac:dyDescent="0.3">
      <c r="B57" t="str">
        <f>Apuesta!AA23</f>
        <v>Brasil</v>
      </c>
      <c r="C57" s="34" t="str">
        <f>IF(Apuesta!AB23="","",Apuesta!AB23)</f>
        <v/>
      </c>
      <c r="D57" t="e">
        <f>#REF!</f>
        <v>#REF!</v>
      </c>
      <c r="E57" s="34" t="str">
        <f>IF(Apuesta!AD23="","",Apuesta!AD23)</f>
        <v/>
      </c>
      <c r="F57" t="str">
        <f>Apuesta!AE23</f>
        <v>Serbia</v>
      </c>
      <c r="I57" s="72" t="s">
        <v>19</v>
      </c>
      <c r="J57" s="72"/>
      <c r="K57" s="72">
        <f t="shared" si="4"/>
        <v>0</v>
      </c>
      <c r="L57" s="72">
        <f>COUNTIF(X:Y,J57&amp;"_win")</f>
        <v>0</v>
      </c>
      <c r="M57" s="72">
        <f>COUNTIF(X:Y,J57&amp;"_draw")</f>
        <v>0</v>
      </c>
      <c r="N57" s="72">
        <f>COUNTIF(X:Y,J57&amp;"_lose")</f>
        <v>0</v>
      </c>
      <c r="O57" s="72">
        <f>SUMIF(B:B,J57,Z:Z)+SUMIF(F:F,J57,AA:AA)</f>
        <v>0</v>
      </c>
      <c r="P57" s="72">
        <f>SUMIF(B:B,J57,AA:AA)+SUMIF(F:F,J57,Z:Z)</f>
        <v>0</v>
      </c>
      <c r="Q57" s="72"/>
      <c r="R57" s="72">
        <f t="shared" si="5"/>
        <v>0</v>
      </c>
      <c r="S57" s="72"/>
      <c r="T57" s="72"/>
      <c r="U57" s="72"/>
      <c r="V57" s="72"/>
      <c r="X57" t="str">
        <f t="shared" ref="X57:X62" si="26">B57 &amp; IF(OR(C57="",E57=""),"",IF(C57&gt;E57,"_win",IF(C57&lt;E57,"_lose","_draw")))</f>
        <v>Brasil</v>
      </c>
      <c r="Y57" t="str">
        <f t="shared" ref="Y57:Y62" si="27">F57 &amp; IF(OR(C57="",E57=""),"",IF(C57&lt;E57,"_win",IF(C57&gt;E57,"_lose","_draw")))</f>
        <v>Serbia</v>
      </c>
      <c r="Z57">
        <f t="shared" ref="Z57:Z62" si="28">IF(OR(C57="",E57=""),0,C57)</f>
        <v>0</v>
      </c>
      <c r="AA57">
        <f t="shared" ref="AA57:AA62" si="29">IF(OR(C57="",E57=""),0,E57)</f>
        <v>0</v>
      </c>
      <c r="AB57" s="39">
        <v>0</v>
      </c>
      <c r="AC57" s="39">
        <v>0</v>
      </c>
      <c r="AG57" t="str">
        <f>J59</f>
        <v>Brasil</v>
      </c>
      <c r="AH57" t="str">
        <f>J60</f>
        <v>Serbia</v>
      </c>
      <c r="AI57" t="str">
        <f>J61</f>
        <v>Suiza</v>
      </c>
      <c r="AJ57" t="str">
        <f>J62</f>
        <v>Camerún</v>
      </c>
    </row>
    <row r="58" spans="2:36" x14ac:dyDescent="0.3">
      <c r="B58" t="str">
        <f>Apuesta!AA24</f>
        <v>Suiza</v>
      </c>
      <c r="C58" s="34" t="str">
        <f>IF(Apuesta!AB24="","",Apuesta!AB24)</f>
        <v/>
      </c>
      <c r="D58" t="e">
        <f>#REF!</f>
        <v>#REF!</v>
      </c>
      <c r="E58" s="34" t="str">
        <f>IF(Apuesta!AD24="","",Apuesta!AD24)</f>
        <v/>
      </c>
      <c r="F58" t="str">
        <f>Apuesta!AE24</f>
        <v>Camerún</v>
      </c>
      <c r="I58" s="35" t="s">
        <v>21</v>
      </c>
      <c r="J58" s="35" t="s">
        <v>4</v>
      </c>
      <c r="K58" s="35" t="s">
        <v>43</v>
      </c>
      <c r="L58" s="35" t="s">
        <v>44</v>
      </c>
      <c r="M58" s="35" t="s">
        <v>45</v>
      </c>
      <c r="N58" s="35" t="s">
        <v>46</v>
      </c>
      <c r="O58" s="35" t="s">
        <v>0</v>
      </c>
      <c r="P58" s="35" t="s">
        <v>1</v>
      </c>
      <c r="Q58" s="35" t="s">
        <v>2</v>
      </c>
      <c r="R58" s="35" t="s">
        <v>41</v>
      </c>
      <c r="S58" s="35" t="s">
        <v>48</v>
      </c>
      <c r="T58" s="35" t="s">
        <v>49</v>
      </c>
      <c r="U58" s="35" t="s">
        <v>47</v>
      </c>
      <c r="V58" s="35" t="s">
        <v>50</v>
      </c>
      <c r="X58" t="str">
        <f t="shared" si="26"/>
        <v>Suiza</v>
      </c>
      <c r="Y58" t="str">
        <f t="shared" si="27"/>
        <v>Camerún</v>
      </c>
      <c r="Z58">
        <f t="shared" si="28"/>
        <v>0</v>
      </c>
      <c r="AA58">
        <f t="shared" si="29"/>
        <v>0</v>
      </c>
      <c r="AB58" s="39">
        <v>0</v>
      </c>
      <c r="AC58" s="39">
        <v>0</v>
      </c>
      <c r="AF58" t="str">
        <f>J59</f>
        <v>Brasil</v>
      </c>
      <c r="AG58" s="36"/>
      <c r="AH58">
        <f>IF(Z57&gt;AA57,2,IF(Z57=AA57,1,0))</f>
        <v>1</v>
      </c>
      <c r="AI58">
        <f>IF(Z59&gt;AA59,2,IF(Z59=AA59,1,0))</f>
        <v>1</v>
      </c>
      <c r="AJ58">
        <f>IF(Z61&gt;AA61,0,IF(Z61=AA61,1,2))</f>
        <v>1</v>
      </c>
    </row>
    <row r="59" spans="2:36" x14ac:dyDescent="0.3">
      <c r="B59" s="37" t="str">
        <f>Apuesta!AA25</f>
        <v>Brasil</v>
      </c>
      <c r="C59" s="38" t="str">
        <f>IF(Apuesta!AB25="","",Apuesta!AB25)</f>
        <v/>
      </c>
      <c r="D59" s="37" t="e">
        <f>#REF!</f>
        <v>#REF!</v>
      </c>
      <c r="E59" s="38" t="str">
        <f>IF(Apuesta!AD25="","",Apuesta!AD25)</f>
        <v/>
      </c>
      <c r="F59" s="37" t="str">
        <f>Apuesta!AE25</f>
        <v>Suiza</v>
      </c>
      <c r="I59">
        <f>RANK(V59,V$59:V$62,0)</f>
        <v>1</v>
      </c>
      <c r="J59" t="str">
        <f>Apuesta!Y24</f>
        <v>Brasil</v>
      </c>
      <c r="K59">
        <f t="shared" si="4"/>
        <v>0</v>
      </c>
      <c r="L59">
        <f>COUNTIF(X:Y,J59&amp;"_win")</f>
        <v>0</v>
      </c>
      <c r="M59">
        <f>COUNTIF(X:Y,J59&amp;"_draw")</f>
        <v>0</v>
      </c>
      <c r="N59">
        <f>COUNTIF(X:Y,J59&amp;"_lose")</f>
        <v>0</v>
      </c>
      <c r="O59">
        <f>SUMIF(B:B,J59,Z:Z)+SUMIF(F:F,J59,AA:AA)</f>
        <v>0</v>
      </c>
      <c r="P59">
        <f>SUMIF(B:B,J59,AA:AA)+SUMIF(F:F,J59,Z:Z)</f>
        <v>0</v>
      </c>
      <c r="Q59">
        <f>O59-P59</f>
        <v>0</v>
      </c>
      <c r="R59">
        <f t="shared" si="5"/>
        <v>0</v>
      </c>
      <c r="S59">
        <v>1</v>
      </c>
      <c r="T59">
        <f>RANK(O59,O$59:O$62,1)</f>
        <v>1</v>
      </c>
      <c r="U59">
        <f>RANK(Q59,Q$59:Q$62,1)</f>
        <v>1</v>
      </c>
      <c r="V59">
        <f>R59*1000000+U59*100000+T59*10000-S59</f>
        <v>109999</v>
      </c>
      <c r="X59" t="str">
        <f t="shared" si="26"/>
        <v>Brasil</v>
      </c>
      <c r="Y59" t="str">
        <f t="shared" si="27"/>
        <v>Suiza</v>
      </c>
      <c r="Z59">
        <f t="shared" si="28"/>
        <v>0</v>
      </c>
      <c r="AA59">
        <f t="shared" si="29"/>
        <v>0</v>
      </c>
      <c r="AB59" s="39">
        <v>0</v>
      </c>
      <c r="AC59" s="39">
        <v>0</v>
      </c>
      <c r="AD59" s="39">
        <v>0</v>
      </c>
      <c r="AF59" t="str">
        <f>J60</f>
        <v>Serbia</v>
      </c>
      <c r="AG59">
        <f>2-AH58</f>
        <v>1</v>
      </c>
      <c r="AH59" s="36"/>
      <c r="AI59">
        <f>IF(Z62&gt;AA62,2,IF(Z62=AA62,1,0))</f>
        <v>1</v>
      </c>
      <c r="AJ59">
        <f>IF(Z60&gt;AA60,0,IF(Z60=AA60,1,2))</f>
        <v>1</v>
      </c>
    </row>
    <row r="60" spans="2:36" x14ac:dyDescent="0.3">
      <c r="B60" s="37" t="str">
        <f>Apuesta!AA26</f>
        <v>Camerún</v>
      </c>
      <c r="C60" s="38" t="str">
        <f>IF(Apuesta!AB26="","",Apuesta!AB26)</f>
        <v/>
      </c>
      <c r="D60" s="37" t="e">
        <f>#REF!</f>
        <v>#REF!</v>
      </c>
      <c r="E60" s="38" t="str">
        <f>IF(Apuesta!AD26="","",Apuesta!AD26)</f>
        <v/>
      </c>
      <c r="F60" s="37" t="str">
        <f>Apuesta!AE26</f>
        <v>Serbia</v>
      </c>
      <c r="I60">
        <f>RANK(V60,V$59:V$62,0)</f>
        <v>3</v>
      </c>
      <c r="J60" t="str">
        <f>Apuesta!Y25</f>
        <v>Serbia</v>
      </c>
      <c r="K60">
        <f t="shared" si="4"/>
        <v>0</v>
      </c>
      <c r="L60">
        <f>COUNTIF(X:Y,J60&amp;"_win")</f>
        <v>0</v>
      </c>
      <c r="M60">
        <f>COUNTIF(X:Y,J60&amp;"_draw")</f>
        <v>0</v>
      </c>
      <c r="N60">
        <f>COUNTIF(X:Y,J60&amp;"_lose")</f>
        <v>0</v>
      </c>
      <c r="O60">
        <f>SUMIF(B:B,J60,Z:Z)+SUMIF(F:F,J60,AA:AA)</f>
        <v>0</v>
      </c>
      <c r="P60">
        <f>SUMIF(B:B,J60,AA:AA)+SUMIF(F:F,J60,Z:Z)</f>
        <v>0</v>
      </c>
      <c r="Q60">
        <f>O60-P60</f>
        <v>0</v>
      </c>
      <c r="R60">
        <f t="shared" si="5"/>
        <v>0</v>
      </c>
      <c r="S60">
        <v>21</v>
      </c>
      <c r="T60">
        <f>RANK(O60,O$59:O$62,1)</f>
        <v>1</v>
      </c>
      <c r="U60">
        <f>RANK(Q60,Q$59:Q$62,1)</f>
        <v>1</v>
      </c>
      <c r="V60">
        <f>R60*1000000+U60*100000+T60*10000-S60</f>
        <v>109979</v>
      </c>
      <c r="X60" t="str">
        <f t="shared" si="26"/>
        <v>Camerún</v>
      </c>
      <c r="Y60" t="str">
        <f t="shared" si="27"/>
        <v>Serbia</v>
      </c>
      <c r="Z60">
        <f t="shared" si="28"/>
        <v>0</v>
      </c>
      <c r="AA60">
        <f t="shared" si="29"/>
        <v>0</v>
      </c>
      <c r="AB60" s="39">
        <v>3</v>
      </c>
      <c r="AC60" s="39">
        <v>1</v>
      </c>
      <c r="AD60" s="39">
        <v>0</v>
      </c>
      <c r="AF60" t="str">
        <f>J61</f>
        <v>Suiza</v>
      </c>
      <c r="AG60">
        <f>2-AI58</f>
        <v>1</v>
      </c>
      <c r="AH60">
        <f>2-AI59</f>
        <v>1</v>
      </c>
      <c r="AI60" s="36"/>
      <c r="AJ60">
        <f>IF(Z58&gt;AA58,2,IF(Z58=AA58,1,0))</f>
        <v>1</v>
      </c>
    </row>
    <row r="61" spans="2:36" x14ac:dyDescent="0.3">
      <c r="B61" t="str">
        <f>Apuesta!AA27</f>
        <v>Camerún</v>
      </c>
      <c r="C61" s="34" t="str">
        <f>IF(Apuesta!AB27="","",Apuesta!AB27)</f>
        <v/>
      </c>
      <c r="D61" t="e">
        <f>#REF!</f>
        <v>#REF!</v>
      </c>
      <c r="E61" s="34" t="str">
        <f>IF(Apuesta!AD27="","",Apuesta!AD27)</f>
        <v/>
      </c>
      <c r="F61" t="str">
        <f>Apuesta!AE27</f>
        <v>Brasil</v>
      </c>
      <c r="I61">
        <f>RANK(V61,V$59:V$62,0)</f>
        <v>2</v>
      </c>
      <c r="J61" t="str">
        <f>Apuesta!Y26</f>
        <v>Suiza</v>
      </c>
      <c r="K61">
        <f t="shared" si="4"/>
        <v>0</v>
      </c>
      <c r="L61">
        <f>COUNTIF(X:Y,J61&amp;"_win")</f>
        <v>0</v>
      </c>
      <c r="M61">
        <f>COUNTIF(X:Y,J61&amp;"_draw")</f>
        <v>0</v>
      </c>
      <c r="N61">
        <f>COUNTIF(X:Y,J61&amp;"_lose")</f>
        <v>0</v>
      </c>
      <c r="O61">
        <f>SUMIF(B:B,J61,Z:Z)+SUMIF(F:F,J61,AA:AA)</f>
        <v>0</v>
      </c>
      <c r="P61">
        <f>SUMIF(B:B,J61,AA:AA)+SUMIF(F:F,J61,Z:Z)</f>
        <v>0</v>
      </c>
      <c r="Q61">
        <f>O61-P61</f>
        <v>0</v>
      </c>
      <c r="R61">
        <f t="shared" si="5"/>
        <v>0</v>
      </c>
      <c r="S61">
        <v>15</v>
      </c>
      <c r="T61">
        <f>RANK(O61,O$59:O$62,1)</f>
        <v>1</v>
      </c>
      <c r="U61">
        <f>RANK(Q61,Q$59:Q$62,1)</f>
        <v>1</v>
      </c>
      <c r="V61">
        <f>R61*1000000+U61*100000+T61*10000-S61</f>
        <v>109985</v>
      </c>
      <c r="X61" t="str">
        <f t="shared" si="26"/>
        <v>Camerún</v>
      </c>
      <c r="Y61" t="str">
        <f t="shared" si="27"/>
        <v>Brasil</v>
      </c>
      <c r="Z61">
        <f t="shared" si="28"/>
        <v>0</v>
      </c>
      <c r="AA61">
        <f t="shared" si="29"/>
        <v>0</v>
      </c>
      <c r="AB61" s="39">
        <v>0</v>
      </c>
      <c r="AC61" s="39">
        <v>0</v>
      </c>
      <c r="AD61" s="39">
        <v>0</v>
      </c>
      <c r="AF61" t="str">
        <f>J62</f>
        <v>Camerún</v>
      </c>
      <c r="AG61">
        <f>2-AJ58</f>
        <v>1</v>
      </c>
      <c r="AH61">
        <f>2-AJ59</f>
        <v>1</v>
      </c>
      <c r="AI61">
        <f>2-AJ60</f>
        <v>1</v>
      </c>
      <c r="AJ61" s="36"/>
    </row>
    <row r="62" spans="2:36" x14ac:dyDescent="0.3">
      <c r="B62" t="str">
        <f>Apuesta!AA28</f>
        <v>Serbia</v>
      </c>
      <c r="C62" s="34" t="str">
        <f>IF(Apuesta!AB28="","",Apuesta!AB28)</f>
        <v/>
      </c>
      <c r="D62" t="e">
        <f>#REF!</f>
        <v>#REF!</v>
      </c>
      <c r="E62" s="34" t="str">
        <f>IF(Apuesta!AD28="","",Apuesta!AD28)</f>
        <v/>
      </c>
      <c r="F62" t="str">
        <f>Apuesta!AE28</f>
        <v>Suiza</v>
      </c>
      <c r="I62">
        <f>RANK(V62,V$59:V$62,0)</f>
        <v>4</v>
      </c>
      <c r="J62" t="str">
        <f>Apuesta!Y27</f>
        <v>Camerún</v>
      </c>
      <c r="K62">
        <f t="shared" si="4"/>
        <v>0</v>
      </c>
      <c r="L62">
        <f>COUNTIF(X:Y,J62&amp;"_win")</f>
        <v>0</v>
      </c>
      <c r="M62">
        <f>COUNTIF(X:Y,J62&amp;"_draw")</f>
        <v>0</v>
      </c>
      <c r="N62">
        <f>COUNTIF(X:Y,J62&amp;"_lose")</f>
        <v>0</v>
      </c>
      <c r="O62">
        <f>SUMIF(B:B,J62,Z:Z)+SUMIF(F:F,J62,AA:AA)</f>
        <v>0</v>
      </c>
      <c r="P62">
        <f>SUMIF(B:B,J62,AA:AA)+SUMIF(F:F,J62,Z:Z)</f>
        <v>0</v>
      </c>
      <c r="Q62">
        <f>O62-P62</f>
        <v>0</v>
      </c>
      <c r="R62">
        <f t="shared" si="5"/>
        <v>0</v>
      </c>
      <c r="S62">
        <v>43</v>
      </c>
      <c r="T62">
        <f>RANK(O62,O$59:O$62,1)</f>
        <v>1</v>
      </c>
      <c r="U62">
        <f>RANK(Q62,Q$59:Q$62,1)</f>
        <v>1</v>
      </c>
      <c r="V62">
        <f>R62*1000000+U62*100000+T62*10000-S62</f>
        <v>109957</v>
      </c>
      <c r="X62" t="str">
        <f t="shared" si="26"/>
        <v>Serbia</v>
      </c>
      <c r="Y62" t="str">
        <f t="shared" si="27"/>
        <v>Suiza</v>
      </c>
      <c r="Z62">
        <f t="shared" si="28"/>
        <v>0</v>
      </c>
      <c r="AA62">
        <f t="shared" si="29"/>
        <v>0</v>
      </c>
      <c r="AB62" s="39">
        <v>3</v>
      </c>
      <c r="AC62" s="39">
        <v>1</v>
      </c>
      <c r="AD62" s="39">
        <v>0</v>
      </c>
    </row>
    <row r="63" spans="2:36" x14ac:dyDescent="0.3">
      <c r="C63" s="34"/>
      <c r="E63" s="34"/>
    </row>
    <row r="64" spans="2:36" x14ac:dyDescent="0.3">
      <c r="C64" s="34"/>
      <c r="E64" s="34"/>
    </row>
    <row r="65" spans="2:36" x14ac:dyDescent="0.3">
      <c r="C65" s="34"/>
      <c r="E65" s="34"/>
    </row>
    <row r="66" spans="2:36" x14ac:dyDescent="0.3">
      <c r="B66" t="str">
        <f>Apuesta!AA32</f>
        <v>Portugal</v>
      </c>
      <c r="C66" s="34" t="str">
        <f>IF(Apuesta!AB32="","",Apuesta!AB32)</f>
        <v/>
      </c>
      <c r="D66" t="e">
        <f>#REF!</f>
        <v>#REF!</v>
      </c>
      <c r="E66" s="34" t="str">
        <f>IF(Apuesta!AD32="","",Apuesta!AD32)</f>
        <v/>
      </c>
      <c r="F66" t="str">
        <f>Apuesta!AE32</f>
        <v>Ghana</v>
      </c>
      <c r="I66" s="72" t="s">
        <v>20</v>
      </c>
      <c r="J66" s="72"/>
      <c r="K66" s="72">
        <f t="shared" si="4"/>
        <v>0</v>
      </c>
      <c r="L66" s="72">
        <f>COUNTIF(X:Y,J66&amp;"_win")</f>
        <v>0</v>
      </c>
      <c r="M66" s="72">
        <f>COUNTIF(X:Y,J66&amp;"_draw")</f>
        <v>0</v>
      </c>
      <c r="N66" s="72">
        <f>COUNTIF(X:Y,J66&amp;"_lose")</f>
        <v>0</v>
      </c>
      <c r="O66" s="72">
        <f>SUMIF(B:B,J66,Z:Z)+SUMIF(F:F,J66,AA:AA)</f>
        <v>0</v>
      </c>
      <c r="P66" s="72">
        <f>SUMIF(B:B,J66,AA:AA)+SUMIF(F:F,J66,Z:Z)</f>
        <v>0</v>
      </c>
      <c r="Q66" s="72"/>
      <c r="R66" s="72">
        <f t="shared" si="5"/>
        <v>0</v>
      </c>
      <c r="S66" s="72"/>
      <c r="T66" s="72"/>
      <c r="U66" s="72"/>
      <c r="V66" s="72"/>
      <c r="X66" t="str">
        <f t="shared" ref="X66:X71" si="30">B66 &amp; IF(OR(C66="",E66=""),"",IF(C66&gt;E66,"_win",IF(C66&lt;E66,"_lose","_draw")))</f>
        <v>Portugal</v>
      </c>
      <c r="Y66" t="str">
        <f t="shared" ref="Y66:Y71" si="31">F66 &amp; IF(OR(C66="",E66=""),"",IF(C66&lt;E66,"_win",IF(C66&gt;E66,"_lose","_draw")))</f>
        <v>Ghana</v>
      </c>
      <c r="Z66">
        <f t="shared" ref="Z66:Z71" si="32">IF(OR(C66="",E66=""),0,C66)</f>
        <v>0</v>
      </c>
      <c r="AA66">
        <f t="shared" ref="AA66:AA71" si="33">IF(OR(C66="",E66=""),0,E66)</f>
        <v>0</v>
      </c>
      <c r="AB66" s="39">
        <v>0</v>
      </c>
      <c r="AC66" s="39">
        <v>0</v>
      </c>
      <c r="AG66" t="str">
        <f>J68</f>
        <v>Portugal</v>
      </c>
      <c r="AH66" t="str">
        <f>J69</f>
        <v>Ghana</v>
      </c>
      <c r="AI66" t="str">
        <f>J70</f>
        <v>Uruguay</v>
      </c>
      <c r="AJ66" t="str">
        <f>J71</f>
        <v>Corea del Sur</v>
      </c>
    </row>
    <row r="67" spans="2:36" x14ac:dyDescent="0.3">
      <c r="B67" t="str">
        <f>Apuesta!AA33</f>
        <v>Uruguay</v>
      </c>
      <c r="C67" s="34" t="str">
        <f>IF(Apuesta!AB33="","",Apuesta!AB33)</f>
        <v/>
      </c>
      <c r="D67" t="e">
        <f>#REF!</f>
        <v>#REF!</v>
      </c>
      <c r="E67" s="34" t="str">
        <f>IF(Apuesta!AD33="","",Apuesta!AD33)</f>
        <v/>
      </c>
      <c r="F67" t="str">
        <f>Apuesta!AE33</f>
        <v>Corea del Sur</v>
      </c>
      <c r="I67" s="35" t="s">
        <v>21</v>
      </c>
      <c r="J67" s="35" t="s">
        <v>4</v>
      </c>
      <c r="K67" s="35" t="s">
        <v>43</v>
      </c>
      <c r="L67" s="35" t="s">
        <v>44</v>
      </c>
      <c r="M67" s="35" t="s">
        <v>45</v>
      </c>
      <c r="N67" s="35" t="s">
        <v>46</v>
      </c>
      <c r="O67" s="35" t="s">
        <v>0</v>
      </c>
      <c r="P67" s="35" t="s">
        <v>1</v>
      </c>
      <c r="Q67" s="35" t="s">
        <v>2</v>
      </c>
      <c r="R67" s="35" t="s">
        <v>41</v>
      </c>
      <c r="S67" s="35" t="s">
        <v>48</v>
      </c>
      <c r="T67" s="35" t="s">
        <v>49</v>
      </c>
      <c r="U67" s="35" t="s">
        <v>47</v>
      </c>
      <c r="V67" s="35" t="s">
        <v>50</v>
      </c>
      <c r="X67" t="str">
        <f t="shared" si="30"/>
        <v>Uruguay</v>
      </c>
      <c r="Y67" t="str">
        <f t="shared" si="31"/>
        <v>Corea del Sur</v>
      </c>
      <c r="Z67">
        <f t="shared" si="32"/>
        <v>0</v>
      </c>
      <c r="AA67">
        <f t="shared" si="33"/>
        <v>0</v>
      </c>
      <c r="AB67" s="39">
        <v>0</v>
      </c>
      <c r="AC67" s="39">
        <v>0</v>
      </c>
      <c r="AF67" t="str">
        <f>J68</f>
        <v>Portugal</v>
      </c>
      <c r="AG67" s="36"/>
      <c r="AH67">
        <f>IF(Z66&gt;AA66,2,IF(Z66=AA66,1,0))</f>
        <v>1</v>
      </c>
      <c r="AI67">
        <f>IF(Z68&gt;AA68,2,IF(Z68=AA68,1,0))</f>
        <v>1</v>
      </c>
      <c r="AJ67">
        <f>IF(Z70&gt;AA70,0,IF(Z70=AA70,1,2))</f>
        <v>1</v>
      </c>
    </row>
    <row r="68" spans="2:36" x14ac:dyDescent="0.3">
      <c r="B68" s="37" t="str">
        <f>Apuesta!AA34</f>
        <v>Portugal</v>
      </c>
      <c r="C68" s="38" t="str">
        <f>IF(Apuesta!AB34="","",Apuesta!AB34)</f>
        <v/>
      </c>
      <c r="D68" s="37" t="e">
        <f>#REF!</f>
        <v>#REF!</v>
      </c>
      <c r="E68" s="38" t="str">
        <f>IF(Apuesta!AD34="","",Apuesta!AD34)</f>
        <v/>
      </c>
      <c r="F68" s="37" t="str">
        <f>Apuesta!AE34</f>
        <v>Uruguay</v>
      </c>
      <c r="I68">
        <f>RANK(V68,V$68:V$71,0)</f>
        <v>1</v>
      </c>
      <c r="J68" t="str">
        <f>Apuesta!Y33</f>
        <v>Portugal</v>
      </c>
      <c r="K68">
        <f t="shared" si="4"/>
        <v>0</v>
      </c>
      <c r="L68">
        <f>COUNTIF(X:Y,J68&amp;"_win")</f>
        <v>0</v>
      </c>
      <c r="M68">
        <f>COUNTIF(X:Y,J68&amp;"_draw")</f>
        <v>0</v>
      </c>
      <c r="N68">
        <f>COUNTIF(X:Y,J68&amp;"_lose")</f>
        <v>0</v>
      </c>
      <c r="O68">
        <f>SUMIF(B:B,J68,Z:Z)+SUMIF(F:F,J68,AA:AA)</f>
        <v>0</v>
      </c>
      <c r="P68">
        <f>SUMIF(B:B,J68,AA:AA)+SUMIF(F:F,J68,Z:Z)</f>
        <v>0</v>
      </c>
      <c r="Q68">
        <f>O68-P68</f>
        <v>0</v>
      </c>
      <c r="R68">
        <f t="shared" si="5"/>
        <v>0</v>
      </c>
      <c r="S68">
        <v>9</v>
      </c>
      <c r="T68">
        <f>RANK(O68,O$68:O$71,1)</f>
        <v>1</v>
      </c>
      <c r="U68">
        <f>RANK(Q68,Q$68:Q$71,1)</f>
        <v>1</v>
      </c>
      <c r="V68">
        <f>R68*1000000+U68*100000+T68*10000-S68</f>
        <v>109991</v>
      </c>
      <c r="X68" t="str">
        <f t="shared" si="30"/>
        <v>Portugal</v>
      </c>
      <c r="Y68" t="str">
        <f t="shared" si="31"/>
        <v>Uruguay</v>
      </c>
      <c r="Z68">
        <f t="shared" si="32"/>
        <v>0</v>
      </c>
      <c r="AA68">
        <f t="shared" si="33"/>
        <v>0</v>
      </c>
      <c r="AB68" s="39">
        <v>0</v>
      </c>
      <c r="AC68" s="39">
        <v>0</v>
      </c>
      <c r="AD68" s="39">
        <v>0</v>
      </c>
      <c r="AF68" t="str">
        <f>J69</f>
        <v>Ghana</v>
      </c>
      <c r="AG68">
        <f>2-AH67</f>
        <v>1</v>
      </c>
      <c r="AH68" s="36"/>
      <c r="AI68">
        <f>IF(Z71&gt;AA71,2,IF(Z71=AA71,1,0))</f>
        <v>1</v>
      </c>
      <c r="AJ68">
        <f>IF(Z69&gt;AA69,0,IF(Z69=AA69,1,2))</f>
        <v>1</v>
      </c>
    </row>
    <row r="69" spans="2:36" x14ac:dyDescent="0.3">
      <c r="B69" s="37" t="str">
        <f>Apuesta!AA35</f>
        <v>Corea del Sur</v>
      </c>
      <c r="C69" s="38" t="str">
        <f>IF(Apuesta!AB35="","",Apuesta!AB35)</f>
        <v/>
      </c>
      <c r="D69" s="37" t="e">
        <f>#REF!</f>
        <v>#REF!</v>
      </c>
      <c r="E69" s="38" t="str">
        <f>IF(Apuesta!AD35="","",Apuesta!AD35)</f>
        <v/>
      </c>
      <c r="F69" s="37" t="str">
        <f>Apuesta!AE35</f>
        <v>Ghana</v>
      </c>
      <c r="I69">
        <f>RANK(V69,V$68:V$71,0)</f>
        <v>4</v>
      </c>
      <c r="J69" t="str">
        <f>Apuesta!Y34</f>
        <v>Ghana</v>
      </c>
      <c r="K69">
        <f t="shared" si="4"/>
        <v>0</v>
      </c>
      <c r="L69">
        <f>COUNTIF(X:Y,J69&amp;"_win")</f>
        <v>0</v>
      </c>
      <c r="M69">
        <f>COUNTIF(X:Y,J69&amp;"_draw")</f>
        <v>0</v>
      </c>
      <c r="N69">
        <f>COUNTIF(X:Y,J69&amp;"_lose")</f>
        <v>0</v>
      </c>
      <c r="O69">
        <f>SUMIF(B:B,J69,Z:Z)+SUMIF(F:F,J69,AA:AA)</f>
        <v>0</v>
      </c>
      <c r="P69">
        <f>SUMIF(B:B,J69,AA:AA)+SUMIF(F:F,J69,Z:Z)</f>
        <v>0</v>
      </c>
      <c r="Q69">
        <f>O69-P69</f>
        <v>0</v>
      </c>
      <c r="R69">
        <f t="shared" si="5"/>
        <v>0</v>
      </c>
      <c r="S69">
        <v>61</v>
      </c>
      <c r="T69">
        <f>RANK(O69,O$68:O$71,1)</f>
        <v>1</v>
      </c>
      <c r="U69">
        <f>RANK(Q69,Q$68:Q$71,1)</f>
        <v>1</v>
      </c>
      <c r="V69">
        <f>R69*1000000+U69*100000+T69*10000-S69</f>
        <v>109939</v>
      </c>
      <c r="X69" t="str">
        <f t="shared" si="30"/>
        <v>Corea del Sur</v>
      </c>
      <c r="Y69" t="str">
        <f t="shared" si="31"/>
        <v>Ghana</v>
      </c>
      <c r="Z69">
        <f t="shared" si="32"/>
        <v>0</v>
      </c>
      <c r="AA69">
        <f t="shared" si="33"/>
        <v>0</v>
      </c>
      <c r="AB69" s="39">
        <v>3</v>
      </c>
      <c r="AC69" s="39">
        <v>1</v>
      </c>
      <c r="AD69" s="39">
        <v>0</v>
      </c>
      <c r="AF69" t="str">
        <f>J70</f>
        <v>Uruguay</v>
      </c>
      <c r="AG69">
        <f>2-AI67</f>
        <v>1</v>
      </c>
      <c r="AH69">
        <f>2-AI68</f>
        <v>1</v>
      </c>
      <c r="AI69" s="36"/>
      <c r="AJ69">
        <f>IF(Z67&gt;AA67,2,IF(Z67=AA67,1,0))</f>
        <v>1</v>
      </c>
    </row>
    <row r="70" spans="2:36" x14ac:dyDescent="0.3">
      <c r="B70" t="str">
        <f>Apuesta!AA36</f>
        <v>Corea del Sur</v>
      </c>
      <c r="C70" s="34" t="str">
        <f>IF(Apuesta!AB36="","",Apuesta!AB36)</f>
        <v/>
      </c>
      <c r="D70" t="e">
        <f>#REF!</f>
        <v>#REF!</v>
      </c>
      <c r="E70" s="34" t="str">
        <f>IF(Apuesta!AD36="","",Apuesta!AD36)</f>
        <v/>
      </c>
      <c r="F70" t="str">
        <f>Apuesta!AE36</f>
        <v>Portugal</v>
      </c>
      <c r="I70">
        <f>RANK(V70,V$68:V$71,0)</f>
        <v>2</v>
      </c>
      <c r="J70" t="str">
        <f>Apuesta!Y35</f>
        <v>Uruguay</v>
      </c>
      <c r="K70">
        <f t="shared" si="4"/>
        <v>0</v>
      </c>
      <c r="L70">
        <f>COUNTIF(X:Y,J70&amp;"_win")</f>
        <v>0</v>
      </c>
      <c r="M70">
        <f>COUNTIF(X:Y,J70&amp;"_draw")</f>
        <v>0</v>
      </c>
      <c r="N70">
        <f>COUNTIF(X:Y,J70&amp;"_lose")</f>
        <v>0</v>
      </c>
      <c r="O70">
        <f>SUMIF(B:B,J70,Z:Z)+SUMIF(F:F,J70,AA:AA)</f>
        <v>0</v>
      </c>
      <c r="P70">
        <f>SUMIF(B:B,J70,AA:AA)+SUMIF(F:F,J70,Z:Z)</f>
        <v>0</v>
      </c>
      <c r="Q70">
        <f>O70-P70</f>
        <v>0</v>
      </c>
      <c r="R70">
        <f t="shared" si="5"/>
        <v>0</v>
      </c>
      <c r="S70">
        <v>14</v>
      </c>
      <c r="T70">
        <f>RANK(O70,O$68:O$71,1)</f>
        <v>1</v>
      </c>
      <c r="U70">
        <f>RANK(Q70,Q$68:Q$71,1)</f>
        <v>1</v>
      </c>
      <c r="V70">
        <f>R70*1000000+U70*100000+T70*10000-S70</f>
        <v>109986</v>
      </c>
      <c r="X70" t="str">
        <f t="shared" si="30"/>
        <v>Corea del Sur</v>
      </c>
      <c r="Y70" t="str">
        <f t="shared" si="31"/>
        <v>Portugal</v>
      </c>
      <c r="Z70">
        <f t="shared" si="32"/>
        <v>0</v>
      </c>
      <c r="AA70">
        <f t="shared" si="33"/>
        <v>0</v>
      </c>
      <c r="AB70" s="39">
        <v>0</v>
      </c>
      <c r="AC70" s="39">
        <v>0</v>
      </c>
      <c r="AD70" s="39">
        <v>0</v>
      </c>
      <c r="AF70" t="str">
        <f>J71</f>
        <v>Corea del Sur</v>
      </c>
      <c r="AG70">
        <f>2-AJ67</f>
        <v>1</v>
      </c>
      <c r="AH70">
        <f>2-AJ68</f>
        <v>1</v>
      </c>
      <c r="AI70">
        <f>2-AJ69</f>
        <v>1</v>
      </c>
      <c r="AJ70" s="36"/>
    </row>
    <row r="71" spans="2:36" x14ac:dyDescent="0.3">
      <c r="B71" t="str">
        <f>Apuesta!AA37</f>
        <v>Ghana</v>
      </c>
      <c r="C71" s="34" t="str">
        <f>IF(Apuesta!AB37="","",Apuesta!AB37)</f>
        <v/>
      </c>
      <c r="D71" t="e">
        <f>#REF!</f>
        <v>#REF!</v>
      </c>
      <c r="E71" s="34" t="str">
        <f>IF(Apuesta!AD37="","",Apuesta!AD37)</f>
        <v/>
      </c>
      <c r="F71" t="str">
        <f>Apuesta!AE37</f>
        <v>Uruguay</v>
      </c>
      <c r="I71">
        <f>RANK(V71,V$68:V$71,0)</f>
        <v>3</v>
      </c>
      <c r="J71" t="str">
        <f>Apuesta!Y36</f>
        <v>Corea del Sur</v>
      </c>
      <c r="K71">
        <f>SUM(L71:N71)</f>
        <v>0</v>
      </c>
      <c r="L71">
        <f>COUNTIF(X:Y,J71&amp;"_win")</f>
        <v>0</v>
      </c>
      <c r="M71">
        <f>COUNTIF(X:Y,J71&amp;"_draw")</f>
        <v>0</v>
      </c>
      <c r="N71">
        <f>COUNTIF(X:Y,J71&amp;"_lose")</f>
        <v>0</v>
      </c>
      <c r="O71">
        <f>SUMIF(B:B,J71,Z:Z)+SUMIF(F:F,J71,AA:AA)</f>
        <v>0</v>
      </c>
      <c r="P71">
        <f>SUMIF(B:B,J71,AA:AA)+SUMIF(F:F,J71,Z:Z)</f>
        <v>0</v>
      </c>
      <c r="Q71">
        <f>O71-P71</f>
        <v>0</v>
      </c>
      <c r="R71">
        <f>L71*3+M71*1</f>
        <v>0</v>
      </c>
      <c r="S71">
        <v>28</v>
      </c>
      <c r="T71">
        <f>RANK(O71,O$68:O$71,1)</f>
        <v>1</v>
      </c>
      <c r="U71">
        <f>RANK(Q71,Q$68:Q$71,1)</f>
        <v>1</v>
      </c>
      <c r="V71">
        <f>R71*1000000+U71*100000+T71*10000-S71</f>
        <v>109972</v>
      </c>
      <c r="X71" t="str">
        <f t="shared" si="30"/>
        <v>Ghana</v>
      </c>
      <c r="Y71" t="str">
        <f t="shared" si="31"/>
        <v>Uruguay</v>
      </c>
      <c r="Z71">
        <f t="shared" si="32"/>
        <v>0</v>
      </c>
      <c r="AA71">
        <f t="shared" si="33"/>
        <v>0</v>
      </c>
      <c r="AB71" s="39">
        <v>3</v>
      </c>
      <c r="AC71" s="39">
        <v>1</v>
      </c>
      <c r="AD71" s="39">
        <v>0</v>
      </c>
    </row>
    <row r="73" spans="2:36" x14ac:dyDescent="0.3">
      <c r="Y73" t="s">
        <v>88</v>
      </c>
      <c r="AB73" s="39">
        <f>SUM(AB3:AB71)</f>
        <v>48</v>
      </c>
      <c r="AC73" s="39">
        <f>SUM(AC3:AC71)</f>
        <v>16</v>
      </c>
      <c r="AD73" s="39">
        <f>SUM(AD3:AD71)</f>
        <v>0</v>
      </c>
    </row>
    <row r="75" spans="2:36" x14ac:dyDescent="0.3">
      <c r="F75" t="b">
        <f>IF(SUM(K5:K8,K14:K17,K23:K26,K32:K35,K41:K44,K50:K53,K59:K62,K68:K71)=96,TRUE,FALSE)</f>
        <v>0</v>
      </c>
      <c r="G75" t="s">
        <v>93</v>
      </c>
    </row>
    <row r="76" spans="2:36" x14ac:dyDescent="0.3">
      <c r="F76" t="b">
        <f>IF(AND(AL14&lt;&gt;"",AL15&lt;&gt;"",AL16&lt;&gt;"",AL17&lt;&gt;"",AM14&lt;&gt;"",AM15&lt;&gt;"",AM16&lt;&gt;"",AM17&lt;&gt;""),TRUE,FALSE)</f>
        <v>0</v>
      </c>
      <c r="G76" t="s">
        <v>94</v>
      </c>
    </row>
    <row r="77" spans="2:36" x14ac:dyDescent="0.3">
      <c r="F77" t="b">
        <f>IF(AND(AL20&lt;&gt;"",AL21&lt;&gt;"",AM20&lt;&gt;"",AM21&lt;&gt;""),TRUE,FALSE)</f>
        <v>0</v>
      </c>
      <c r="G77" t="s">
        <v>95</v>
      </c>
    </row>
    <row r="78" spans="2:36" x14ac:dyDescent="0.3">
      <c r="F78" t="b">
        <f>IF(AND(AL24&lt;&gt;"",AL27&lt;&gt;"",AM24&lt;&gt;"",AM27&lt;&gt;""),TRUE,FALSE)</f>
        <v>0</v>
      </c>
      <c r="G78" t="s">
        <v>96</v>
      </c>
    </row>
    <row r="79" spans="2:36" x14ac:dyDescent="0.3">
      <c r="F79" t="b">
        <f>IF(AND(Apuesta!AU28&lt;&gt;""),TRUE,FALSE)</f>
        <v>0</v>
      </c>
      <c r="G79" t="s">
        <v>97</v>
      </c>
    </row>
    <row r="80" spans="2:36" x14ac:dyDescent="0.3">
      <c r="F80" t="b">
        <f>IF(AND(Apuesta!AU32&lt;&gt;""),TRUE,FALSE)</f>
        <v>0</v>
      </c>
      <c r="G80" t="s">
        <v>98</v>
      </c>
    </row>
    <row r="81" spans="6:7" x14ac:dyDescent="0.3">
      <c r="F81" t="b">
        <f>AND(F75:F80)</f>
        <v>0</v>
      </c>
      <c r="G81" t="s">
        <v>99</v>
      </c>
    </row>
  </sheetData>
  <sheetProtection algorithmName="SHA-512" hashValue="eJyTZAijuM0LCiP2ONHdiwjHd6BGB8XskAotKdtnkREuW0cMYwH3DKaPYJuqJT+i4gNTIz1kuPwZY5vfksDjeg==" saltValue="XC3iFG844fyZ6PQeaM+pfg==" spinCount="100000" sheet="1" objects="1" scenarios="1"/>
  <mergeCells count="15">
    <mergeCell ref="AL29:AM29"/>
    <mergeCell ref="AL32:AM32"/>
    <mergeCell ref="AL2:AM2"/>
    <mergeCell ref="AL13:AM13"/>
    <mergeCell ref="AL19:AM19"/>
    <mergeCell ref="AL23:AM23"/>
    <mergeCell ref="AL26:AM26"/>
    <mergeCell ref="I57:V57"/>
    <mergeCell ref="I66:V66"/>
    <mergeCell ref="I3:V3"/>
    <mergeCell ref="I12:V12"/>
    <mergeCell ref="I21:V21"/>
    <mergeCell ref="I30:V30"/>
    <mergeCell ref="I39:V39"/>
    <mergeCell ref="I48:V48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2E3C-2BFD-443D-B3F5-D17EDA482FC0}">
  <sheetPr codeName="Hoja1"/>
  <dimension ref="B2:AG45"/>
  <sheetViews>
    <sheetView workbookViewId="0">
      <selection activeCell="W17" sqref="W16:W17"/>
    </sheetView>
  </sheetViews>
  <sheetFormatPr defaultColWidth="11.5546875" defaultRowHeight="14.4" x14ac:dyDescent="0.3"/>
  <cols>
    <col min="1" max="1" width="3.88671875" customWidth="1"/>
    <col min="2" max="2" width="13.77734375" bestFit="1" customWidth="1"/>
    <col min="3" max="3" width="18.21875" bestFit="1" customWidth="1"/>
    <col min="4" max="4" width="15.109375" bestFit="1" customWidth="1"/>
    <col min="5" max="5" width="14.6640625" bestFit="1" customWidth="1"/>
    <col min="6" max="6" width="17.6640625" bestFit="1" customWidth="1"/>
    <col min="7" max="7" width="14.33203125" bestFit="1" customWidth="1"/>
    <col min="8" max="8" width="22.21875" bestFit="1" customWidth="1"/>
    <col min="9" max="9" width="16.33203125" bestFit="1" customWidth="1"/>
    <col min="10" max="10" width="16.21875" bestFit="1" customWidth="1"/>
    <col min="11" max="11" width="17.5546875" bestFit="1" customWidth="1"/>
    <col min="12" max="12" width="14.21875" bestFit="1" customWidth="1"/>
    <col min="13" max="13" width="16.5546875" bestFit="1" customWidth="1"/>
    <col min="14" max="14" width="15.21875" bestFit="1" customWidth="1"/>
    <col min="15" max="15" width="16.5546875" bestFit="1" customWidth="1"/>
    <col min="16" max="16" width="16.5546875" customWidth="1"/>
    <col min="17" max="17" width="17.5546875" bestFit="1" customWidth="1"/>
    <col min="18" max="18" width="15.21875" bestFit="1" customWidth="1"/>
    <col min="19" max="19" width="15.44140625" bestFit="1" customWidth="1"/>
    <col min="20" max="20" width="15.21875" bestFit="1" customWidth="1"/>
    <col min="21" max="21" width="17.77734375" bestFit="1" customWidth="1"/>
    <col min="22" max="22" width="13.109375" bestFit="1" customWidth="1"/>
    <col min="23" max="23" width="15.6640625" bestFit="1" customWidth="1"/>
    <col min="24" max="24" width="16.77734375" bestFit="1" customWidth="1"/>
    <col min="25" max="25" width="14" bestFit="1" customWidth="1"/>
    <col min="26" max="26" width="18.21875" bestFit="1" customWidth="1"/>
    <col min="27" max="27" width="15.5546875" bestFit="1" customWidth="1"/>
    <col min="28" max="28" width="18.33203125" bestFit="1" customWidth="1"/>
    <col min="29" max="29" width="13.5546875" bestFit="1" customWidth="1"/>
    <col min="30" max="30" width="17.44140625" bestFit="1" customWidth="1"/>
    <col min="31" max="31" width="14" bestFit="1" customWidth="1"/>
    <col min="32" max="32" width="18.77734375" bestFit="1" customWidth="1"/>
    <col min="33" max="33" width="14.33203125" bestFit="1" customWidth="1"/>
  </cols>
  <sheetData>
    <row r="2" spans="2:33" x14ac:dyDescent="0.3">
      <c r="B2" t="s">
        <v>29</v>
      </c>
      <c r="C2" t="s">
        <v>5</v>
      </c>
      <c r="D2" t="s">
        <v>23</v>
      </c>
      <c r="E2" t="s">
        <v>11</v>
      </c>
      <c r="F2" t="s">
        <v>32</v>
      </c>
      <c r="G2" t="s">
        <v>25</v>
      </c>
      <c r="H2" t="s">
        <v>84</v>
      </c>
      <c r="I2" t="s">
        <v>83</v>
      </c>
      <c r="J2" t="s">
        <v>30</v>
      </c>
      <c r="K2" t="s">
        <v>26</v>
      </c>
      <c r="L2" t="s">
        <v>24</v>
      </c>
      <c r="M2" t="s">
        <v>12</v>
      </c>
      <c r="N2" t="s">
        <v>79</v>
      </c>
      <c r="O2" t="s">
        <v>81</v>
      </c>
      <c r="P2" t="s">
        <v>10</v>
      </c>
      <c r="Q2" t="s">
        <v>13</v>
      </c>
      <c r="R2" t="s">
        <v>82</v>
      </c>
      <c r="S2" t="s">
        <v>85</v>
      </c>
      <c r="T2" t="s">
        <v>33</v>
      </c>
      <c r="U2" t="s">
        <v>7</v>
      </c>
      <c r="V2" t="s">
        <v>35</v>
      </c>
      <c r="W2" t="s">
        <v>8</v>
      </c>
      <c r="X2" t="s">
        <v>31</v>
      </c>
      <c r="Y2" t="s">
        <v>80</v>
      </c>
      <c r="Z2" t="s">
        <v>36</v>
      </c>
      <c r="AA2" t="s">
        <v>9</v>
      </c>
      <c r="AB2" t="s">
        <v>78</v>
      </c>
      <c r="AC2" t="s">
        <v>37</v>
      </c>
      <c r="AD2" t="s">
        <v>28</v>
      </c>
      <c r="AE2" t="s">
        <v>27</v>
      </c>
      <c r="AF2" t="s">
        <v>34</v>
      </c>
      <c r="AG2" t="s">
        <v>6</v>
      </c>
    </row>
    <row r="3" spans="2:33" x14ac:dyDescent="0.3">
      <c r="B3" t="s">
        <v>101</v>
      </c>
      <c r="C3" t="s">
        <v>109</v>
      </c>
      <c r="D3" t="s">
        <v>114</v>
      </c>
      <c r="E3" t="s">
        <v>121</v>
      </c>
      <c r="F3" t="s">
        <v>129</v>
      </c>
      <c r="G3" t="s">
        <v>137</v>
      </c>
      <c r="H3" t="s">
        <v>147</v>
      </c>
      <c r="I3" t="s">
        <v>154</v>
      </c>
      <c r="J3" t="s">
        <v>158</v>
      </c>
      <c r="K3" t="s">
        <v>167</v>
      </c>
      <c r="L3" t="s">
        <v>175</v>
      </c>
      <c r="M3" t="s">
        <v>183</v>
      </c>
      <c r="N3" t="s">
        <v>187</v>
      </c>
      <c r="O3" t="s">
        <v>193</v>
      </c>
      <c r="P3" t="s">
        <v>205</v>
      </c>
      <c r="Q3" t="s">
        <v>209</v>
      </c>
      <c r="R3" t="s">
        <v>214</v>
      </c>
      <c r="S3" t="s">
        <v>221</v>
      </c>
      <c r="T3" t="s">
        <v>226</v>
      </c>
      <c r="U3" t="s">
        <v>231</v>
      </c>
      <c r="V3" t="s">
        <v>241</v>
      </c>
      <c r="W3" t="s">
        <v>242</v>
      </c>
      <c r="X3" t="s">
        <v>251</v>
      </c>
      <c r="Y3" t="s">
        <v>259</v>
      </c>
      <c r="Z3" t="s">
        <v>266</v>
      </c>
      <c r="AA3" t="s">
        <v>268</v>
      </c>
      <c r="AB3" t="s">
        <v>278</v>
      </c>
      <c r="AC3" t="s">
        <v>284</v>
      </c>
      <c r="AD3" t="s">
        <v>290</v>
      </c>
      <c r="AE3" t="s">
        <v>295</v>
      </c>
      <c r="AF3" t="s">
        <v>300</v>
      </c>
      <c r="AG3" t="s">
        <v>305</v>
      </c>
    </row>
    <row r="4" spans="2:33" x14ac:dyDescent="0.3">
      <c r="B4" t="s">
        <v>105</v>
      </c>
      <c r="C4" t="s">
        <v>112</v>
      </c>
      <c r="D4" t="s">
        <v>115</v>
      </c>
      <c r="E4" t="s">
        <v>124</v>
      </c>
      <c r="F4" t="s">
        <v>130</v>
      </c>
      <c r="G4" t="s">
        <v>134</v>
      </c>
      <c r="H4" t="s">
        <v>145</v>
      </c>
      <c r="I4" t="s">
        <v>153</v>
      </c>
      <c r="J4" t="s">
        <v>162</v>
      </c>
      <c r="K4" t="s">
        <v>164</v>
      </c>
      <c r="L4" t="s">
        <v>178</v>
      </c>
      <c r="M4" t="s">
        <v>181</v>
      </c>
      <c r="N4" t="s">
        <v>188</v>
      </c>
      <c r="O4" t="s">
        <v>192</v>
      </c>
      <c r="P4" t="s">
        <v>206</v>
      </c>
      <c r="Q4" t="s">
        <v>208</v>
      </c>
      <c r="R4" t="s">
        <v>213</v>
      </c>
      <c r="S4" t="s">
        <v>220</v>
      </c>
      <c r="T4" t="s">
        <v>228</v>
      </c>
      <c r="U4" t="s">
        <v>230</v>
      </c>
      <c r="V4" t="s">
        <v>235</v>
      </c>
      <c r="W4" t="s">
        <v>246</v>
      </c>
      <c r="X4" t="s">
        <v>253</v>
      </c>
      <c r="Y4" t="s">
        <v>257</v>
      </c>
      <c r="Z4" t="s">
        <v>262</v>
      </c>
      <c r="AA4" t="s">
        <v>269</v>
      </c>
      <c r="AB4" t="s">
        <v>277</v>
      </c>
      <c r="AC4" t="s">
        <v>283</v>
      </c>
      <c r="AD4" t="s">
        <v>288</v>
      </c>
      <c r="AE4" t="s">
        <v>297</v>
      </c>
      <c r="AF4" t="s">
        <v>299</v>
      </c>
      <c r="AG4" t="s">
        <v>306</v>
      </c>
    </row>
    <row r="5" spans="2:33" x14ac:dyDescent="0.3">
      <c r="B5" t="s">
        <v>102</v>
      </c>
      <c r="C5" t="s">
        <v>113</v>
      </c>
      <c r="D5" t="s">
        <v>117</v>
      </c>
      <c r="E5" t="s">
        <v>120</v>
      </c>
      <c r="F5" t="s">
        <v>133</v>
      </c>
      <c r="G5" t="s">
        <v>141</v>
      </c>
      <c r="H5" t="s">
        <v>149</v>
      </c>
      <c r="I5" t="s">
        <v>152</v>
      </c>
      <c r="J5" t="s">
        <v>156</v>
      </c>
      <c r="K5" t="s">
        <v>166</v>
      </c>
      <c r="L5" t="s">
        <v>177</v>
      </c>
      <c r="M5" t="s">
        <v>184</v>
      </c>
      <c r="N5" t="s">
        <v>191</v>
      </c>
      <c r="O5" t="s">
        <v>199</v>
      </c>
      <c r="P5" t="s">
        <v>200</v>
      </c>
      <c r="Q5" t="s">
        <v>210</v>
      </c>
      <c r="R5" t="s">
        <v>216</v>
      </c>
      <c r="S5" t="s">
        <v>218</v>
      </c>
      <c r="T5" t="s">
        <v>224</v>
      </c>
      <c r="U5" t="s">
        <v>234</v>
      </c>
      <c r="V5" t="s">
        <v>238</v>
      </c>
      <c r="W5" t="s">
        <v>248</v>
      </c>
      <c r="X5" t="s">
        <v>252</v>
      </c>
      <c r="Y5" t="s">
        <v>256</v>
      </c>
      <c r="Z5" t="s">
        <v>267</v>
      </c>
      <c r="AA5" t="s">
        <v>274</v>
      </c>
      <c r="AB5" t="s">
        <v>275</v>
      </c>
      <c r="AC5" t="s">
        <v>282</v>
      </c>
      <c r="AD5" t="s">
        <v>285</v>
      </c>
      <c r="AE5" t="s">
        <v>293</v>
      </c>
      <c r="AF5" t="s">
        <v>302</v>
      </c>
      <c r="AG5" t="s">
        <v>304</v>
      </c>
    </row>
    <row r="6" spans="2:33" x14ac:dyDescent="0.3">
      <c r="B6" t="s">
        <v>103</v>
      </c>
      <c r="C6" t="s">
        <v>111</v>
      </c>
      <c r="D6" t="s">
        <v>119</v>
      </c>
      <c r="E6" t="s">
        <v>122</v>
      </c>
      <c r="F6" t="s">
        <v>127</v>
      </c>
      <c r="G6" t="s">
        <v>136</v>
      </c>
      <c r="H6" t="s">
        <v>144</v>
      </c>
      <c r="I6" t="s">
        <v>155</v>
      </c>
      <c r="J6" t="s">
        <v>160</v>
      </c>
      <c r="K6" t="s">
        <v>168</v>
      </c>
      <c r="L6" t="s">
        <v>170</v>
      </c>
      <c r="M6" t="s">
        <v>182</v>
      </c>
      <c r="N6" t="s">
        <v>190</v>
      </c>
      <c r="O6" t="s">
        <v>195</v>
      </c>
      <c r="P6" t="s">
        <v>202</v>
      </c>
      <c r="Q6" t="s">
        <v>212</v>
      </c>
      <c r="R6" t="s">
        <v>217</v>
      </c>
      <c r="S6" t="s">
        <v>219</v>
      </c>
      <c r="T6" t="s">
        <v>225</v>
      </c>
      <c r="U6" t="s">
        <v>232</v>
      </c>
      <c r="V6" t="s">
        <v>239</v>
      </c>
      <c r="W6" t="s">
        <v>243</v>
      </c>
      <c r="X6" t="s">
        <v>249</v>
      </c>
      <c r="Y6" t="s">
        <v>258</v>
      </c>
      <c r="Z6" t="s">
        <v>265</v>
      </c>
      <c r="AA6" t="s">
        <v>271</v>
      </c>
      <c r="AB6" t="s">
        <v>279</v>
      </c>
      <c r="AC6" t="s">
        <v>280</v>
      </c>
      <c r="AD6" t="s">
        <v>289</v>
      </c>
      <c r="AE6" t="s">
        <v>296</v>
      </c>
      <c r="AF6" t="s">
        <v>303</v>
      </c>
      <c r="AG6" t="s">
        <v>307</v>
      </c>
    </row>
    <row r="7" spans="2:33" x14ac:dyDescent="0.3">
      <c r="B7" t="s">
        <v>108</v>
      </c>
      <c r="C7" t="s">
        <v>110</v>
      </c>
      <c r="D7" t="s">
        <v>118</v>
      </c>
      <c r="E7" t="s">
        <v>123</v>
      </c>
      <c r="F7" t="s">
        <v>126</v>
      </c>
      <c r="G7" t="s">
        <v>143</v>
      </c>
      <c r="H7" t="s">
        <v>150</v>
      </c>
      <c r="I7" t="s">
        <v>151</v>
      </c>
      <c r="J7" t="s">
        <v>157</v>
      </c>
      <c r="K7" t="s">
        <v>165</v>
      </c>
      <c r="L7" t="s">
        <v>172</v>
      </c>
      <c r="M7" t="s">
        <v>180</v>
      </c>
      <c r="N7" t="s">
        <v>186</v>
      </c>
      <c r="O7" t="s">
        <v>197</v>
      </c>
      <c r="P7" t="s">
        <v>203</v>
      </c>
      <c r="Q7" t="s">
        <v>207</v>
      </c>
      <c r="R7" t="s">
        <v>215</v>
      </c>
      <c r="T7" t="s">
        <v>222</v>
      </c>
      <c r="U7" t="s">
        <v>233</v>
      </c>
      <c r="V7" t="s">
        <v>237</v>
      </c>
      <c r="W7" t="s">
        <v>247</v>
      </c>
      <c r="X7" t="s">
        <v>255</v>
      </c>
      <c r="Y7" t="s">
        <v>261</v>
      </c>
      <c r="Z7" t="s">
        <v>263</v>
      </c>
      <c r="AA7" t="s">
        <v>273</v>
      </c>
      <c r="AB7" t="s">
        <v>276</v>
      </c>
      <c r="AC7" t="s">
        <v>281</v>
      </c>
      <c r="AD7" t="s">
        <v>291</v>
      </c>
      <c r="AE7" t="s">
        <v>294</v>
      </c>
      <c r="AF7" t="s">
        <v>301</v>
      </c>
      <c r="AG7" t="s">
        <v>308</v>
      </c>
    </row>
    <row r="8" spans="2:33" x14ac:dyDescent="0.3">
      <c r="B8" t="s">
        <v>100</v>
      </c>
      <c r="D8" t="s">
        <v>116</v>
      </c>
      <c r="F8" t="s">
        <v>131</v>
      </c>
      <c r="G8" t="s">
        <v>139</v>
      </c>
      <c r="H8" t="s">
        <v>146</v>
      </c>
      <c r="J8" t="s">
        <v>163</v>
      </c>
      <c r="K8" t="s">
        <v>169</v>
      </c>
      <c r="L8" t="s">
        <v>171</v>
      </c>
      <c r="N8" t="s">
        <v>189</v>
      </c>
      <c r="O8" t="s">
        <v>194</v>
      </c>
      <c r="P8" t="s">
        <v>204</v>
      </c>
      <c r="Q8" t="s">
        <v>211</v>
      </c>
      <c r="T8" t="s">
        <v>223</v>
      </c>
      <c r="U8" t="s">
        <v>229</v>
      </c>
      <c r="V8" t="s">
        <v>240</v>
      </c>
      <c r="W8" t="s">
        <v>245</v>
      </c>
      <c r="X8" t="s">
        <v>254</v>
      </c>
      <c r="Y8" t="s">
        <v>260</v>
      </c>
      <c r="Z8" t="s">
        <v>264</v>
      </c>
      <c r="AA8" t="s">
        <v>270</v>
      </c>
      <c r="AD8" t="s">
        <v>286</v>
      </c>
      <c r="AE8" t="s">
        <v>292</v>
      </c>
    </row>
    <row r="9" spans="2:33" x14ac:dyDescent="0.3">
      <c r="B9" t="s">
        <v>104</v>
      </c>
      <c r="F9" t="s">
        <v>132</v>
      </c>
      <c r="G9" t="s">
        <v>140</v>
      </c>
      <c r="H9" t="s">
        <v>148</v>
      </c>
      <c r="J9" t="s">
        <v>161</v>
      </c>
      <c r="L9" t="s">
        <v>176</v>
      </c>
      <c r="N9" t="s">
        <v>185</v>
      </c>
      <c r="O9" t="s">
        <v>196</v>
      </c>
      <c r="P9" t="s">
        <v>201</v>
      </c>
      <c r="T9" t="s">
        <v>227</v>
      </c>
      <c r="V9" t="s">
        <v>236</v>
      </c>
      <c r="W9" t="s">
        <v>244</v>
      </c>
      <c r="X9" t="s">
        <v>250</v>
      </c>
      <c r="AA9" t="s">
        <v>272</v>
      </c>
      <c r="AD9" t="s">
        <v>287</v>
      </c>
      <c r="AE9" t="s">
        <v>298</v>
      </c>
    </row>
    <row r="10" spans="2:33" x14ac:dyDescent="0.3">
      <c r="B10" t="s">
        <v>106</v>
      </c>
      <c r="F10" t="s">
        <v>179</v>
      </c>
      <c r="G10" t="s">
        <v>142</v>
      </c>
      <c r="J10" t="s">
        <v>159</v>
      </c>
      <c r="L10" t="s">
        <v>174</v>
      </c>
      <c r="O10" t="s">
        <v>198</v>
      </c>
      <c r="P10" t="s">
        <v>309</v>
      </c>
    </row>
    <row r="11" spans="2:33" x14ac:dyDescent="0.3">
      <c r="B11" t="s">
        <v>107</v>
      </c>
      <c r="F11" t="s">
        <v>128</v>
      </c>
      <c r="G11" t="s">
        <v>138</v>
      </c>
      <c r="L11" t="s">
        <v>173</v>
      </c>
    </row>
    <row r="12" spans="2:33" x14ac:dyDescent="0.3">
      <c r="F12" t="s">
        <v>125</v>
      </c>
      <c r="G12" t="s">
        <v>135</v>
      </c>
    </row>
    <row r="29" ht="14.55" customHeight="1" x14ac:dyDescent="0.3"/>
    <row r="31" ht="14.55" customHeight="1" x14ac:dyDescent="0.3"/>
    <row r="33" ht="14.55" customHeight="1" x14ac:dyDescent="0.3"/>
    <row r="36" ht="14.55" customHeight="1" x14ac:dyDescent="0.3"/>
    <row r="38" ht="14.55" customHeight="1" x14ac:dyDescent="0.3"/>
    <row r="41" ht="14.55" customHeight="1" x14ac:dyDescent="0.3"/>
    <row r="43" ht="14.55" customHeight="1" x14ac:dyDescent="0.3"/>
    <row r="45" ht="14.55" customHeight="1" x14ac:dyDescent="0.3"/>
  </sheetData>
  <sortState xmlns:xlrd2="http://schemas.microsoft.com/office/spreadsheetml/2017/richdata2" ref="W22:W31">
    <sortCondition ref="W22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64</vt:i4>
      </vt:variant>
    </vt:vector>
  </HeadingPairs>
  <TitlesOfParts>
    <vt:vector size="67" baseType="lpstr">
      <vt:lpstr>Apuesta</vt:lpstr>
      <vt:lpstr>Auxiliar</vt:lpstr>
      <vt:lpstr>Plantillas</vt:lpstr>
      <vt:lpstr>Alemania</vt:lpstr>
      <vt:lpstr>Alemania_2</vt:lpstr>
      <vt:lpstr>ArabiaSaudí</vt:lpstr>
      <vt:lpstr>ArabiaSaudí_2</vt:lpstr>
      <vt:lpstr>Argentina</vt:lpstr>
      <vt:lpstr>Argentina_2</vt:lpstr>
      <vt:lpstr>Australia</vt:lpstr>
      <vt:lpstr>Australia_2</vt:lpstr>
      <vt:lpstr>Bélgica</vt:lpstr>
      <vt:lpstr>Bélgica_2</vt:lpstr>
      <vt:lpstr>Brasil</vt:lpstr>
      <vt:lpstr>Brasil_2</vt:lpstr>
      <vt:lpstr>Camerún</vt:lpstr>
      <vt:lpstr>Camerún_2</vt:lpstr>
      <vt:lpstr>Canadá</vt:lpstr>
      <vt:lpstr>Canadá_2</vt:lpstr>
      <vt:lpstr>CoreadelSur</vt:lpstr>
      <vt:lpstr>CoreadelSur_2</vt:lpstr>
      <vt:lpstr>CostaRica</vt:lpstr>
      <vt:lpstr>CostaRica_2</vt:lpstr>
      <vt:lpstr>Croacia</vt:lpstr>
      <vt:lpstr>Croacia_2</vt:lpstr>
      <vt:lpstr>Dinamarca</vt:lpstr>
      <vt:lpstr>Dinamarca_2</vt:lpstr>
      <vt:lpstr>Ecuador</vt:lpstr>
      <vt:lpstr>Ecuador_2</vt:lpstr>
      <vt:lpstr>EEUU</vt:lpstr>
      <vt:lpstr>EEUU_2</vt:lpstr>
      <vt:lpstr>España_2</vt:lpstr>
      <vt:lpstr>Francia</vt:lpstr>
      <vt:lpstr>Francia_2</vt:lpstr>
      <vt:lpstr>Gales</vt:lpstr>
      <vt:lpstr>Gales_2</vt:lpstr>
      <vt:lpstr>Ghana</vt:lpstr>
      <vt:lpstr>Ghana_2</vt:lpstr>
      <vt:lpstr>Inglaterra</vt:lpstr>
      <vt:lpstr>Inglaterra_2</vt:lpstr>
      <vt:lpstr>Irán</vt:lpstr>
      <vt:lpstr>Irán_2</vt:lpstr>
      <vt:lpstr>Japón</vt:lpstr>
      <vt:lpstr>Japón_2</vt:lpstr>
      <vt:lpstr>Marruecos</vt:lpstr>
      <vt:lpstr>Marruecos_2</vt:lpstr>
      <vt:lpstr>México</vt:lpstr>
      <vt:lpstr>México_2</vt:lpstr>
      <vt:lpstr>Países</vt:lpstr>
      <vt:lpstr>PaísesBajos</vt:lpstr>
      <vt:lpstr>PaísesBajos_2</vt:lpstr>
      <vt:lpstr>Polonia</vt:lpstr>
      <vt:lpstr>Polonia_2</vt:lpstr>
      <vt:lpstr>Portugal</vt:lpstr>
      <vt:lpstr>Portugal_2</vt:lpstr>
      <vt:lpstr>Qatar</vt:lpstr>
      <vt:lpstr>Qatar_2</vt:lpstr>
      <vt:lpstr>Senegal</vt:lpstr>
      <vt:lpstr>Senegal_2</vt:lpstr>
      <vt:lpstr>Serbia</vt:lpstr>
      <vt:lpstr>Serbia_2</vt:lpstr>
      <vt:lpstr>Suiza</vt:lpstr>
      <vt:lpstr>Suiza_2</vt:lpstr>
      <vt:lpstr>Túnez</vt:lpstr>
      <vt:lpstr>Túnez_2</vt:lpstr>
      <vt:lpstr>Uruguay</vt:lpstr>
      <vt:lpstr>Uruguay_2</vt:lpstr>
    </vt:vector>
  </TitlesOfParts>
  <Company>Deloitte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Camarena, Abel (ES - Huesca)</dc:creator>
  <cp:lastModifiedBy>Pepermans, Nicolas</cp:lastModifiedBy>
  <dcterms:created xsi:type="dcterms:W3CDTF">2018-05-03T09:51:20Z</dcterms:created>
  <dcterms:modified xsi:type="dcterms:W3CDTF">2022-11-06T17:46:35Z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2022-11-04T11:57:44Z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7656924b-b240-4826-ac5c-065288300010</vt:lpwstr>
  </property>
  <property fmtid="{D5CDD505-2E9C-101B-9397-08002B2CF9AE}" pid="8" name="MSIP_Label_ea60d57e-af5b-4752-ac57-3e4f28ca11dc_ContentBits">
    <vt:lpwstr>0</vt:lpwstr>
  </property>
</Properties>
</file>